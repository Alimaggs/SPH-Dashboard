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laude Working Folder\HubSpot Events - RP1 - RP4 - 2026-2027\"/>
    </mc:Choice>
  </mc:AlternateContent>
  <xr:revisionPtr revIDLastSave="0" documentId="13_ncr:1_{74858F10-B55B-4F88-A1E2-D2163A6A5F8A}" xr6:coauthVersionLast="47" xr6:coauthVersionMax="47" xr10:uidLastSave="{00000000-0000-0000-0000-000000000000}"/>
  <bookViews>
    <workbookView xWindow="-120" yWindow="-120" windowWidth="77040" windowHeight="21120" tabRatio="500" xr2:uid="{00000000-000D-0000-FFFF-FFFF00000000}"/>
  </bookViews>
  <sheets>
    <sheet name="RP1" sheetId="1" r:id="rId1"/>
    <sheet name="RP2" sheetId="2" r:id="rId2"/>
    <sheet name="RP3" sheetId="3" r:id="rId3"/>
    <sheet name="RP4"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16" i="4" l="1"/>
  <c r="C16" i="4"/>
  <c r="U15" i="4"/>
  <c r="C15" i="4"/>
  <c r="U14" i="4"/>
  <c r="C14" i="4"/>
  <c r="U13" i="4"/>
  <c r="C13" i="4"/>
  <c r="U12" i="4"/>
  <c r="C12" i="4"/>
  <c r="U11" i="4"/>
  <c r="C11" i="4"/>
  <c r="U10" i="4"/>
  <c r="C10" i="4"/>
  <c r="U9" i="4"/>
  <c r="C9" i="4"/>
  <c r="U8" i="4"/>
  <c r="C8" i="4"/>
  <c r="U7" i="4"/>
  <c r="C7" i="4"/>
  <c r="U6" i="4"/>
  <c r="C6" i="4"/>
  <c r="U5" i="4"/>
  <c r="C5" i="4"/>
  <c r="U4" i="4"/>
  <c r="C4" i="4"/>
  <c r="U3" i="4"/>
  <c r="C3" i="4"/>
  <c r="U2" i="4"/>
  <c r="C2" i="4"/>
  <c r="U33" i="3"/>
  <c r="C33" i="3"/>
  <c r="U32" i="3"/>
  <c r="C32" i="3"/>
  <c r="U31" i="3"/>
  <c r="C31" i="3"/>
  <c r="U30" i="3"/>
  <c r="C30" i="3"/>
  <c r="U29" i="3"/>
  <c r="C29" i="3"/>
  <c r="U28" i="3"/>
  <c r="C28" i="3"/>
  <c r="U27" i="3"/>
  <c r="C27" i="3"/>
  <c r="U26" i="3"/>
  <c r="C26" i="3"/>
  <c r="U25" i="3"/>
  <c r="C25" i="3"/>
  <c r="U24" i="3"/>
  <c r="C24" i="3"/>
  <c r="U23" i="3"/>
  <c r="C23" i="3"/>
  <c r="U22" i="3"/>
  <c r="C22" i="3"/>
  <c r="U21" i="3"/>
  <c r="C21" i="3"/>
  <c r="U20" i="3"/>
  <c r="C20" i="3"/>
  <c r="U19" i="3"/>
  <c r="C19" i="3"/>
  <c r="U18" i="3"/>
  <c r="C18" i="3"/>
  <c r="U17" i="3"/>
  <c r="C17" i="3"/>
  <c r="U16" i="3"/>
  <c r="C16" i="3"/>
  <c r="U15" i="3"/>
  <c r="C15" i="3"/>
  <c r="U14" i="3"/>
  <c r="C14" i="3"/>
  <c r="U13" i="3"/>
  <c r="C13" i="3"/>
  <c r="U12" i="3"/>
  <c r="C12" i="3"/>
  <c r="U11" i="3"/>
  <c r="C11" i="3"/>
  <c r="U10" i="3"/>
  <c r="C10" i="3"/>
  <c r="U9" i="3"/>
  <c r="C9" i="3"/>
  <c r="U8" i="3"/>
  <c r="C8" i="3"/>
  <c r="U7" i="3"/>
  <c r="C7" i="3"/>
  <c r="U6" i="3"/>
  <c r="C6" i="3"/>
  <c r="U5" i="3"/>
  <c r="C5" i="3"/>
  <c r="U4" i="3"/>
  <c r="C4" i="3"/>
  <c r="U3" i="3"/>
  <c r="C3" i="3"/>
  <c r="U2" i="3"/>
  <c r="C2" i="3"/>
  <c r="U36" i="2"/>
  <c r="C36" i="2"/>
  <c r="U35" i="2"/>
  <c r="C35" i="2"/>
  <c r="U34" i="2"/>
  <c r="C34" i="2"/>
  <c r="U33" i="2"/>
  <c r="C33" i="2"/>
  <c r="U32" i="2"/>
  <c r="C32" i="2"/>
  <c r="U31" i="2"/>
  <c r="C31" i="2"/>
  <c r="U30" i="2"/>
  <c r="C30" i="2"/>
  <c r="U29" i="2"/>
  <c r="C29" i="2"/>
  <c r="U28" i="2"/>
  <c r="C28" i="2"/>
  <c r="U27" i="2"/>
  <c r="C27" i="2"/>
  <c r="U26" i="2"/>
  <c r="C26" i="2"/>
  <c r="U25" i="2"/>
  <c r="C25" i="2"/>
  <c r="U24" i="2"/>
  <c r="C24" i="2"/>
  <c r="U23" i="2"/>
  <c r="C23" i="2"/>
  <c r="U22" i="2"/>
  <c r="C22" i="2"/>
  <c r="U21" i="2"/>
  <c r="C21" i="2"/>
  <c r="U20" i="2"/>
  <c r="C20" i="2"/>
  <c r="U19" i="2"/>
  <c r="C19" i="2"/>
  <c r="U18" i="2"/>
  <c r="C18" i="2"/>
  <c r="U17" i="2"/>
  <c r="C17" i="2"/>
  <c r="U16" i="2"/>
  <c r="C16" i="2"/>
  <c r="U15" i="2"/>
  <c r="C15" i="2"/>
  <c r="U14" i="2"/>
  <c r="C14" i="2"/>
  <c r="U13" i="2"/>
  <c r="C13" i="2"/>
  <c r="U12" i="2"/>
  <c r="C12" i="2"/>
  <c r="U11" i="2"/>
  <c r="C11" i="2"/>
  <c r="U10" i="2"/>
  <c r="C10" i="2"/>
  <c r="U9" i="2"/>
  <c r="C9" i="2"/>
  <c r="U8" i="2"/>
  <c r="C8" i="2"/>
  <c r="U7" i="2"/>
  <c r="C7" i="2"/>
  <c r="U6" i="2"/>
  <c r="C6" i="2"/>
  <c r="U5" i="2"/>
  <c r="C5" i="2"/>
  <c r="U4" i="2"/>
  <c r="C4" i="2"/>
  <c r="U3" i="2"/>
  <c r="C3" i="2"/>
  <c r="U2" i="2"/>
  <c r="C2" i="2"/>
  <c r="U27" i="1"/>
  <c r="C27" i="1"/>
  <c r="U26" i="1"/>
  <c r="C26" i="1"/>
  <c r="U25" i="1"/>
  <c r="C25" i="1"/>
  <c r="U24" i="1"/>
  <c r="C24" i="1"/>
  <c r="U23" i="1"/>
  <c r="C23" i="1"/>
  <c r="U22" i="1"/>
  <c r="C22" i="1"/>
  <c r="U21" i="1"/>
  <c r="C21" i="1"/>
  <c r="U20" i="1"/>
  <c r="C20" i="1"/>
  <c r="U19" i="1"/>
  <c r="C19" i="1"/>
  <c r="U18" i="1"/>
  <c r="C18" i="1"/>
  <c r="U17" i="1"/>
  <c r="C17" i="1"/>
  <c r="U16" i="1"/>
  <c r="C16" i="1"/>
  <c r="U15" i="1"/>
  <c r="C15" i="1"/>
  <c r="U14" i="1"/>
  <c r="C14" i="1"/>
  <c r="U13" i="1"/>
  <c r="C13" i="1"/>
  <c r="U12" i="1"/>
  <c r="C12" i="1"/>
  <c r="U11" i="1"/>
  <c r="C11" i="1"/>
  <c r="U10" i="1"/>
  <c r="C10" i="1"/>
  <c r="U9" i="1"/>
  <c r="C9" i="1"/>
  <c r="U8" i="1"/>
  <c r="C8" i="1"/>
  <c r="U7" i="1"/>
  <c r="C7" i="1"/>
  <c r="U6" i="1"/>
  <c r="C6" i="1"/>
  <c r="U5" i="1"/>
  <c r="C5" i="1"/>
  <c r="U4" i="1"/>
  <c r="C4" i="1"/>
  <c r="U3" i="1"/>
  <c r="C3" i="1"/>
  <c r="U2" i="1"/>
  <c r="C2" i="1"/>
</calcChain>
</file>

<file path=xl/sharedStrings.xml><?xml version="1.0" encoding="utf-8"?>
<sst xmlns="http://schemas.openxmlformats.org/spreadsheetml/2006/main" count="1794" uniqueCount="441">
  <si>
    <t>Event Name</t>
  </si>
  <si>
    <t>Activity Date</t>
  </si>
  <si>
    <t>Day of Week</t>
  </si>
  <si>
    <t>Time</t>
  </si>
  <si>
    <t>Brochure Category</t>
  </si>
  <si>
    <t>Location</t>
  </si>
  <si>
    <t>Number of Tickets</t>
  </si>
  <si>
    <t>Period Registered</t>
  </si>
  <si>
    <t>Period Attended</t>
  </si>
  <si>
    <t>Activity Type</t>
  </si>
  <si>
    <t>Professional Development Category</t>
  </si>
  <si>
    <t>Network</t>
  </si>
  <si>
    <t>Mailing List Subscriptions</t>
  </si>
  <si>
    <t>CPD Bundle for Survey</t>
  </si>
  <si>
    <t>Workflows Configured</t>
  </si>
  <si>
    <t>Notes</t>
  </si>
  <si>
    <t>Website URL</t>
  </si>
  <si>
    <t>Short Description</t>
  </si>
  <si>
    <t>Regional/Local</t>
  </si>
  <si>
    <t>Registration</t>
  </si>
  <si>
    <t>Processed for Reports</t>
  </si>
  <si>
    <t>Autumn Outdoor Learning Morning for Childminders and Children</t>
  </si>
  <si>
    <t>10:00 am - 12:00 pm</t>
  </si>
  <si>
    <t>Childminders</t>
  </si>
  <si>
    <t>TBC</t>
  </si>
  <si>
    <t>Registered Events RP1-26-27</t>
  </si>
  <si>
    <t>Attended Events RP1-26-27</t>
  </si>
  <si>
    <t>AT Event RP1-26-27</t>
  </si>
  <si>
    <t>PD Other RP1-26-27</t>
  </si>
  <si>
    <t>Yes</t>
  </si>
  <si>
    <t>https://beyth.co.uk/course/autumn-outdoor-learning-morning-for-childminders-and-children/</t>
  </si>
  <si>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</si>
  <si>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Regional</t>
  </si>
  <si>
    <t>Website</t>
  </si>
  <si>
    <t>Using Visuals to Support Speech, Language and Communication (SALT Network Session)</t>
  </si>
  <si>
    <t>4:00 pm - 5:30 pm</t>
  </si>
  <si>
    <t>Communication, Language and Literacy</t>
  </si>
  <si>
    <t>Online</t>
  </si>
  <si>
    <t>AT Network RP1-26-27</t>
  </si>
  <si>
    <t>PD Communication and Language RP1-26-27</t>
  </si>
  <si>
    <t>NW Communication, Language and Literacy RP1-26-27</t>
  </si>
  <si>
    <t>No</t>
  </si>
  <si>
    <t>https://beyth.co.uk/course/using-visuals-to-support-speech-language-and-communication-salt-network-session/</t>
  </si>
  <si>
    <t>Explore how visual supports can enhance understanding, communication and independence across everyday activities and routines, providing predictable, accessible ways to share information and reduce communication barriers.</t>
  </si>
  <si>
    <t>Leadership Matters Network (October 2026)</t>
  </si>
  <si>
    <t>2:00 pm - 3:30 pm</t>
  </si>
  <si>
    <t>Leadership and Staff Development</t>
  </si>
  <si>
    <t>NW Leadership and Staff Development RP1-26-27</t>
  </si>
  <si>
    <t>https://beyth.co.uk/course/leadership-matters-network-october-2026/</t>
  </si>
  <si>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</si>
  <si>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SEND Network: Understanding Autism in the Early Years</t>
  </si>
  <si>
    <t>6:00 pm - 7:30 pm</t>
  </si>
  <si>
    <t>SEND</t>
  </si>
  <si>
    <t>PD SEND RP1-26-27</t>
  </si>
  <si>
    <t>NW SEND RP1-26-27</t>
  </si>
  <si>
    <t>Presenter: Ruth Glover (Springboard).</t>
  </si>
  <si>
    <t>https://beyth.co.uk/course/send-network-understanding-autism-in-the-early-years/</t>
  </si>
  <si>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</si>
  <si>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October Outdoor Learning Morning for Childminders and Children</t>
  </si>
  <si>
    <t>Broadmoor Lane Orchard Park. Bath</t>
  </si>
  <si>
    <t>https://beyth.co.uk/course/october-outdoor-learning-morning-for-childminders-and-children/</t>
  </si>
  <si>
    <t>New to EYFS – Strengthening Early Years Teaching</t>
  </si>
  <si>
    <t>9:30 am - 4:00 pm</t>
  </si>
  <si>
    <t>EYFS Learning Community</t>
  </si>
  <si>
    <t>AT Webinar RP1-26-27</t>
  </si>
  <si>
    <t>Presenter: Anna Morgan.</t>
  </si>
  <si>
    <t>https://beyth.co.uk/course/new-to-eyfs-strengthening-early-years-teaching-oct-26/</t>
  </si>
  <si>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</si>
  <si>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Childminder Network: Running a Sustainable Childminding Business</t>
  </si>
  <si>
    <t>6:30 pm - 8:00 pm</t>
  </si>
  <si>
    <t>NW Childminders RP1-26-27</t>
  </si>
  <si>
    <t>https://beyth.co.uk/course/childminder-network-running-a-sustainable-childminding-business/</t>
  </si>
  <si>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</si>
  <si>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Talking With Babies</t>
  </si>
  <si>
    <t>6:15 pm - 8:15 pm</t>
  </si>
  <si>
    <t>Working with Babies</t>
  </si>
  <si>
    <t>https://beyth.co.uk/course/talking-with-babies-oct-2026/</t>
  </si>
  <si>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</si>
  <si>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How Can a Playful Pedagogy Work Within a Home-Based Childcare Setting? With Michelle Malamo</t>
  </si>
  <si>
    <t>PD PSED RP1-26-27</t>
  </si>
  <si>
    <t>Presenter: Michelle Malamo. Can record.</t>
  </si>
  <si>
    <t>https://beyth.co.uk/course/how-can-a-playful-pedagogy-work-within-a-home-based-childcare-setting-with-michelle-malamo/</t>
  </si>
  <si>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</si>
  <si>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CPD Programme: Using Evidence to Strengthen Your Early Years Leadership - Session 1</t>
  </si>
  <si>
    <t>9:00 am - 12:00 pm</t>
  </si>
  <si>
    <t>St Pauls Nursery Community Room</t>
  </si>
  <si>
    <t>Leadership</t>
  </si>
  <si>
    <t>Presenters: Tom Colquhoun and Lucy Driver. Delivered in collaboration with the Somerset Research School.</t>
  </si>
  <si>
    <t>https://beyth.co.uk/course/cpd-programme-using-evidence-to-strengthen-your-early-years-leadership-2026/</t>
  </si>
  <si>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</si>
  <si>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Mathematising the Day</t>
  </si>
  <si>
    <t>4:00 pm - 6:00 pm</t>
  </si>
  <si>
    <t>Maths</t>
  </si>
  <si>
    <t>PD Mathematics RP1-26-27</t>
  </si>
  <si>
    <t>Presenter: Maeve Dorrian. Session can be recorded.</t>
  </si>
  <si>
    <t>https://beyth.co.uk/course/mathematising-the-day-october-2026/</t>
  </si>
  <si>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</si>
  <si>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Talking About Twos: Meaningful Two-Year Progress Checks</t>
  </si>
  <si>
    <t>3:30 pm - 4:45 pm</t>
  </si>
  <si>
    <t>Spotlight on Twos</t>
  </si>
  <si>
    <t>NW Spotlight on Twos RP1-26-27</t>
  </si>
  <si>
    <t>Presenter: TBC</t>
  </si>
  <si>
    <t>https://beyth.co.uk/course/talking-about-twos-meaningful-two-year-progress-checks/</t>
  </si>
  <si>
    <t>Explore how to make the two-year progress check a meaningful, child-centred process — celebrating children's strengths, identifying support needs, and working in partnership with families and other professionals to ensure the right support at the right time.</t>
  </si>
  <si>
    <t>Live Panel Webinar: Inside the Baby Room: Insights from the Babies in Mind Project</t>
  </si>
  <si>
    <t>7:00 pm - 8:00 pm</t>
  </si>
  <si>
    <t>Working With Babies</t>
  </si>
  <si>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</si>
  <si>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https://beyth.co.uk/course/live-panel-webinar-inside-the-baby-room/</t>
  </si>
  <si>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</si>
  <si>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Developing an Early Years Curriculum – Strengthening Early Years Teaching</t>
  </si>
  <si>
    <t>9:30 am - 11:30 am</t>
  </si>
  <si>
    <t>Presenter: Ali Carrington.</t>
  </si>
  <si>
    <t>https://beyth.co.uk/course/developing-an-early-years-curriculum-oct-26/</t>
  </si>
  <si>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</si>
  <si>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CPD Programme: Getting it Right for Twos - Session 1</t>
  </si>
  <si>
    <t>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</si>
  <si>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</si>
  <si>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Quality Interactions</t>
  </si>
  <si>
    <t>https://beyth.co.uk/course/quality-interactions-november-2026/</t>
  </si>
  <si>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</si>
  <si>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Mathematising the Day – Open Study Morning at Hartcliffe Nursery School</t>
  </si>
  <si>
    <t>8:00 am - 12:30 pm</t>
  </si>
  <si>
    <t>Hartcliffe Nursery School</t>
  </si>
  <si>
    <t>Presenter: Maeve Dorrian.</t>
  </si>
  <si>
    <t>https://beyth.co.uk/course/mathematising-the-day-study-morning-hartcliffe-nursery/</t>
  </si>
  <si>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</si>
  <si>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PSED Network - November 2026 (Belonging and Transitions)</t>
  </si>
  <si>
    <t>PSED</t>
  </si>
  <si>
    <t>NW PSED RP1-26-27</t>
  </si>
  <si>
    <t>https://beyth.co.uk/course/psed-network-november-2026/</t>
  </si>
  <si>
    <t>Join our PSED Learning Lead and the Bristol PSED team for a network session on Belonging and Transitions, combining teaching time, shared practice and discussion, and action planning to leave you with ideas and tools you can use straight away.</t>
  </si>
  <si>
    <t>CPD Programme: Using Evidence to Strengthen Your Early Years Leadership - Session 2</t>
  </si>
  <si>
    <t>Exploring an Early Years Curriculum: Open Study Day at St Pauls Nursery</t>
  </si>
  <si>
    <t>9:00 am - 3:00 pm</t>
  </si>
  <si>
    <t>Community Room</t>
  </si>
  <si>
    <t>Presenter: Robin Taylor.</t>
  </si>
  <si>
    <t>https://beyth.co.uk/course/open-study-day-at-st-pauls-nursery-nov-26/</t>
  </si>
  <si>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</si>
  <si>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Somerset Baby Practitioner Network Meeting - November 2026</t>
  </si>
  <si>
    <t>6:15 pm - 7:30 pm</t>
  </si>
  <si>
    <t>Local</t>
  </si>
  <si>
    <t>NW Working with Babies RP1-26-27</t>
  </si>
  <si>
    <t>https://beyth.co.uk/course/somerset-baby-practitioner-network-meeting-november-2026/</t>
  </si>
  <si>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</si>
  <si>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CPD Programme: Getting it Right for Twos - Session 2</t>
  </si>
  <si>
    <t>Communication and Language Network - November 2026</t>
  </si>
  <si>
    <t>Facilitated by our Language Leads.</t>
  </si>
  <si>
    <t>https://beyth.co.uk/course/communication-and-language-network-november-2026/</t>
  </si>
  <si>
    <t>An informal online networking session for early years practitioners to come together, share experiences and explore key topics related to communication and language, with each session offering a space for discussion, reflection and peer support.</t>
  </si>
  <si>
    <t>Emotion Coaching to Support Regulation</t>
  </si>
  <si>
    <t>Presenter: Rachel Stoyall</t>
  </si>
  <si>
    <t>https://beyth.co.uk/course/emotion-coaching-to-support-self-regulation/</t>
  </si>
  <si>
    <t>Explore Emotion Coaching as a strategy for supporting children's behaviour and self-regulation, with practical tools for Early Years practitioners and childminders to help children understand and manage their emotions.</t>
  </si>
  <si>
    <t>Interactive Writing</t>
  </si>
  <si>
    <t>PD Early Literacy RP1-26-27</t>
  </si>
  <si>
    <t>https://beyth.co.uk/course/interactive-writing-nov-26/</t>
  </si>
  <si>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</si>
  <si>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SEND Network: Looking Beyond Behaviour: Understanding Children's Needs in the Early Years</t>
  </si>
  <si>
    <t>https://beyth.co.uk/course/send-network-looking-beyond-behaviour-understanding-childrens-needs-in-the-early-years/</t>
  </si>
  <si>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</si>
  <si>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Childminder Network: Leading a Team</t>
  </si>
  <si>
    <t>Registered Events RP2-26-27</t>
  </si>
  <si>
    <t>Attended Events RP2-26-27</t>
  </si>
  <si>
    <t>AT Network RP2-26-27</t>
  </si>
  <si>
    <t>PD Other RP2-26-27</t>
  </si>
  <si>
    <t>NW Childminders RP2-26-27</t>
  </si>
  <si>
    <t>https://beyth.co.uk/course/childminder-network-leading-a-team/</t>
  </si>
  <si>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</si>
  <si>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CPD Programme: Using Evidence to Strengthen Your Early Years Leadership - Session 3</t>
  </si>
  <si>
    <t>AT Event RP2-26-27</t>
  </si>
  <si>
    <t>Leadership Matters Network (December 2026)</t>
  </si>
  <si>
    <t>NW Leadership and Staff Development RP2-26-27</t>
  </si>
  <si>
    <t>https://beyth.co.uk/course/leadership-matters-network-december-2026/</t>
  </si>
  <si>
    <t>CPD Programme: Getting it Right for Twos - Session 3</t>
  </si>
  <si>
    <t>AT Webinar RP2-26-27</t>
  </si>
  <si>
    <t>PD PSED RP2-26-27</t>
  </si>
  <si>
    <t>Trauma Informed Practice Study Morning at Knowle West Nursery - December 2026</t>
  </si>
  <si>
    <t>9:30 am - 12:30 pm</t>
  </si>
  <si>
    <t>Knowle West Nursery</t>
  </si>
  <si>
    <t>https://beyth.co.uk/course/trauma-informed-practice-study-morning-at-knowle-west-nursery-december-2026/</t>
  </si>
  <si>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</si>
  <si>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Talking About Babies: Talking to Parents and Carers</t>
  </si>
  <si>
    <t>9:30 am - 10:45 am</t>
  </si>
  <si>
    <t>NW Working with Babies RP2-26-27</t>
  </si>
  <si>
    <t>https://beyth.co.uk/course/talking-about-babies-talking-to-parents-and-carers/</t>
  </si>
  <si>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</si>
  <si>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Supporting Language Development Through Book Sharing (SALT Network Session)</t>
  </si>
  <si>
    <t>PD Communication and Language RP2-26-27</t>
  </si>
  <si>
    <t>NW Communication, Language and Literacy RP2-26-27</t>
  </si>
  <si>
    <t>https://beyth.co.uk/course/supporting-language-development-through-book-sharing-salt-network-session/</t>
  </si>
  <si>
    <t>Explore how shared book experiences can promote language development and meaningful interactions, with practical strategies to make book sharing engaging, responsive and accessible — supporting attention, turn-taking, vocabulary and connection.</t>
  </si>
  <si>
    <t>My Home as a Playground with Helen Battelley: Supporting Movement Play and Physical Development in Childminding Settings</t>
  </si>
  <si>
    <t>Physical Development</t>
  </si>
  <si>
    <t>PD Physical Development RP2-26-27</t>
  </si>
  <si>
    <t>Presenter: Helen Battelley. Session can be recorded.</t>
  </si>
  <si>
    <t>https://beyth.co.uk/course/my-home-as-a-playground-helen-battelley/</t>
  </si>
  <si>
    <t>Explore how childminders can transform ordinary home environments into rich movement spaces that support children's physical development, confidence, wellbeing and learning, drawing on current research in this practical, interactive webinar.</t>
  </si>
  <si>
    <t>Maths Network - December 2026</t>
  </si>
  <si>
    <t>PD Mathematics RP2-26-27</t>
  </si>
  <si>
    <t>NW Maths RP2-26-27</t>
  </si>
  <si>
    <t>Facilitated by our Maths Lead and local Maths Leaders.</t>
  </si>
  <si>
    <t>https://beyth.co.uk/course/maths-network-december-2026/</t>
  </si>
  <si>
    <t>An informal online networking session for early years practitioners to come together, share experiences and explore key topics related to maths in early years settings, with each session offering a space for discussion, reflection and peer support.</t>
  </si>
  <si>
    <t>Learning Through a Continuous Provision Approach – Strengthening Early Years Teaching</t>
  </si>
  <si>
    <t>https://beyth.co.uk/course/learning-through-a-continuous-provision-approach-jan-27/</t>
  </si>
  <si>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</si>
  <si>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Things I Wish I Knew About the Emotional Environment of Early Years Settings</t>
  </si>
  <si>
    <t>6:00 pm - 8:00 pm</t>
  </si>
  <si>
    <t>Leadership, PSED</t>
  </si>
  <si>
    <t>Presenter: Louise Hannan (Bridgwater College). Bio to follow from Beth.</t>
  </si>
  <si>
    <t>https://beyth.co.uk/course/emotional-environment-of-early-years-settings/</t>
  </si>
  <si>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</si>
  <si>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Behaviour CPD Programme (Jan, Feb, March 2027) - Session 1</t>
  </si>
  <si>
    <t>1:00 pm - 3:30 pm</t>
  </si>
  <si>
    <t>Presenters (LSLs): Erin Blessitt, Terri Mitchell, Rachel Stoyall and Louise Scott.</t>
  </si>
  <si>
    <t>https://beyth.co.uk/course/behaviour-cpd-programme-jan-feb-march-2027/</t>
  </si>
  <si>
    <t>Join Bristol PSED experts across this 3-part programme covering the timeline of behavioural incidents — what to do before, during and after behaviour happens — including trauma-informed practice, attachment, SEND and sensory needs, the PACE approach, co-regulation and relationship mapping. Participants must commit to all three sessions.</t>
  </si>
  <si>
    <t>Creative Mathematics Study Day at Sefton Park School</t>
  </si>
  <si>
    <t>Sefton Park Infant and Junior Schools</t>
  </si>
  <si>
    <t>Presenter: Julian Swindale.</t>
  </si>
  <si>
    <t>https://beyth.co.uk/course/creative-mathematics-study-day-sefton-park/</t>
  </si>
  <si>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</si>
  <si>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SEND Immersion Day: An Inclusive Curriculum and Communication with Parents (18th January 2027)</t>
  </si>
  <si>
    <t>9:30 am - 12:00 pm</t>
  </si>
  <si>
    <t>Ilminster Avenue Nursery School</t>
  </si>
  <si>
    <t>PD SEND RP2-26-27</t>
  </si>
  <si>
    <t>https://beyth.co.uk/course/send-immersion-day-an-inclusive-curriculum-and-communication-with-parents-18th-january-2027/</t>
  </si>
  <si>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</si>
  <si>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SEND Immersion Day: An Inclusive Curriculum and Communication with Parents (20th January 2027)</t>
  </si>
  <si>
    <t>https://beyth.co.uk/course/send-immersion-day-an-inclusive-curriculum-and-communication-with-parents-20th-january-2027/</t>
  </si>
  <si>
    <t>Authentic, Ambitious and Values-Based Leadership</t>
  </si>
  <si>
    <t>Presenter: Lucy Driver, lead of the Stronger Practice Hub.</t>
  </si>
  <si>
    <t>https://beyth.co.uk/course/authentic-ambitious-and-values-based-leadership/</t>
  </si>
  <si>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</si>
  <si>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PSED Network - January 2027</t>
  </si>
  <si>
    <t>NW PSED RP2-26-27</t>
  </si>
  <si>
    <t>https://beyth.co.uk/course/psed-network-january-2027/</t>
  </si>
  <si>
    <t>Join our PSED Learning Lead and the Bristol PSED team for this termly PSED network session, combining teaching time, shared practice and discussion, and action planning to leave you with ideas and tools you can use straight away. Session focus to be confirmed.</t>
  </si>
  <si>
    <t>EDI: It Starts With Us - Reflection on Bias and Positionality</t>
  </si>
  <si>
    <t>6:15 pm - 7:45 pm</t>
  </si>
  <si>
    <t>EDI</t>
  </si>
  <si>
    <t>Trainers: Local EDI Specialist leaders. One of a 3-part EDI CPD series — can book individually, but booking all 3 is recommended.</t>
  </si>
  <si>
    <t>https://beyth.co.uk/course/edi-it-starts-with-us-reflection-on-bias-and-positionality/</t>
  </si>
  <si>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</si>
  <si>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Tuning in to Babies CPD Programme - Session 1</t>
  </si>
  <si>
    <t>PSED, Working with Babies</t>
  </si>
  <si>
    <t>Presenters: Simone Barnes and Cassie Holland (Birth-3 Network Leaders).</t>
  </si>
  <si>
    <t>https://beyth.co.uk/course/tuning-in-to-babies-cpd-programme/</t>
  </si>
  <si>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</si>
  <si>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Quality Interactions Toolkit Roadshow - 29th January 2027</t>
  </si>
  <si>
    <t>TO ADD</t>
  </si>
  <si>
    <t>https://beyth.co.uk/course/quality-interactions-toolkit-roadshow-29th-january-2027/</t>
  </si>
  <si>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</si>
  <si>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Talking About Twos: Removing Barriers, Creating Opportunities</t>
  </si>
  <si>
    <t>NW Spotlight on Twos RP2-26-27</t>
  </si>
  <si>
    <t>https://beyth.co.uk/course/talking-about-twos-removing-barriers-creating-opportunities/</t>
  </si>
  <si>
    <t>Explore how settings can use FRAS-funded two-year-old places to support access, build strong relationships with families, and create the responsive, inclusive environments that help every two-year-old flourish, particularly those experiencing disadvantage.</t>
  </si>
  <si>
    <t>SEND Immersion Day – Specialist Autism Early Years Practice (2nd February 2027)</t>
  </si>
  <si>
    <t>Springboard - Mead Vale Early Years Autism Hub, Mead Vale Primary School</t>
  </si>
  <si>
    <t>Facilitated by the Springboard team.</t>
  </si>
  <si>
    <t>https://beyth.co.uk/course/send-immersion-day-specialist-autism-early-years-practice-2nd-february-2027/</t>
  </si>
  <si>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</si>
  <si>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Loose Parts Play with Childminding UK</t>
  </si>
  <si>
    <t>Delivered by Childminding UK Childminding Consultants. Bookings limited to SPH area only.</t>
  </si>
  <si>
    <t>https://beyth.co.uk/course/loose-parts-play-with-childminding-uk/</t>
  </si>
  <si>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</si>
  <si>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Trauma Informed Practice Study Morning at Knowle West Nursery - February 2027</t>
  </si>
  <si>
    <t>https://beyth.co.uk/course/trauma-informed-practice-study-morning-at-knowle-west-nursery-february-2027/</t>
  </si>
  <si>
    <t>Leadership Matters Network (February 2027)</t>
  </si>
  <si>
    <t>https://beyth.co.uk/course/leadership-matters-network-february-2027/</t>
  </si>
  <si>
    <t>SEND Immersion Day – Specialist Autism Early Years Practice (4th February 2027)</t>
  </si>
  <si>
    <t>https://beyth.co.uk/course/send-immersion-day-specialist-autism-early-years-practice-4th-february-2027/</t>
  </si>
  <si>
    <t>EDI: Inclusive Environments - Reflection on the Messaging in Our Environments</t>
  </si>
  <si>
    <t>https://beyth.co.uk/course/edi-inclusive-environments-reflection-on-the-messaging-in-our-environments/</t>
  </si>
  <si>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</si>
  <si>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Quality Interactions Toolkit Roadshow - 5th February 2027</t>
  </si>
  <si>
    <t>https://beyth.co.uk/course/quality-interactions-toolkit-roadshow-5th-february-2027/</t>
  </si>
  <si>
    <t>Understanding the Communication Needs of 2-Year-Olds (Salt Network Session)</t>
  </si>
  <si>
    <t>https://beyth.co.uk/course/understanding-the-communication-needs-of-2-year-olds-salt-network-session/</t>
  </si>
  <si>
    <t>Understand the communication needs of two-year-olds and explore responsive interaction strategies that follow children's interests, extend communication, and turn daily routines into meaningful learning opportunities.</t>
  </si>
  <si>
    <t>Courageous Conversations – Leadership</t>
  </si>
  <si>
    <t>https://beyth.co.uk/course/courageous-conversations-leadership-2027/</t>
  </si>
  <si>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</si>
  <si>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Tuning in to Babies CPD Programme - Session 2</t>
  </si>
  <si>
    <t>Behaviour CPD Programme (Jan, Feb, March 2027) - Session 2</t>
  </si>
  <si>
    <t>Quality Interactions Toolkit Roadshow - 12th February 2027</t>
  </si>
  <si>
    <t>https://beyth.co.uk/course/quality-interactions-toolkit-roadshow-12th-february-2027/</t>
  </si>
  <si>
    <t>Maths Network - February 2027</t>
  </si>
  <si>
    <t>https://beyth.co.uk/course/maths-network-february-2027/</t>
  </si>
  <si>
    <t>Childminder Network - February 2027</t>
  </si>
  <si>
    <t>9:30 am - 10:30 am</t>
  </si>
  <si>
    <t>https://beyth.co.uk/course/childminder-network-february-2027/</t>
  </si>
  <si>
    <t>Connect with fellow childminders to share experiences and reflect on ways to develop your practice and business, with time for input from our childminder lead or guest trainer, sharing practice and discussion, and action planning.</t>
  </si>
  <si>
    <t>SEND Immersion Day at St. Paul’s Nursery School - March 2027</t>
  </si>
  <si>
    <t>St. Paul's Nursery School</t>
  </si>
  <si>
    <t>Registered Events RP3-26-27</t>
  </si>
  <si>
    <t>Attended Events RP3-26-27</t>
  </si>
  <si>
    <t>AT Event RP3-26-27</t>
  </si>
  <si>
    <t>PD SEND RP3-26-27</t>
  </si>
  <si>
    <t>https://beyth.co.uk/course/send-immersion-day-at-st-pauls-nursery-school-march-2027/</t>
  </si>
  <si>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</si>
  <si>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EDI: Anti-Racist Practice - Digging Into a Proactive Approach to Challenging Racism in the Everyday</t>
  </si>
  <si>
    <t>AT Webinar RP3-26-27</t>
  </si>
  <si>
    <t>PD PSED RP3-26-27</t>
  </si>
  <si>
    <t>https://beyth.co.uk/course/edi-anti-racist-practice-digging-into-a-proactive-approach-to-challenging-racism-in-the-everyday/</t>
  </si>
  <si>
    <t>Move from awareness to confident action, exploring how racism can emerge in subtle, everyday interactions and developing strategies to recognise and challenge bias, respond confidently to racist incidents, and support children's understanding of fairness and belonging.</t>
  </si>
  <si>
    <t>Communication and Language Network - March 2027</t>
  </si>
  <si>
    <t>AT Network RP3-26-27</t>
  </si>
  <si>
    <t>PD Communication and Language RP3-26-27</t>
  </si>
  <si>
    <t>NW Communication, Language and Literacy RP3-26-27</t>
  </si>
  <si>
    <t>https://beyth.co.uk/course/communication-and-language-network-march-2027/</t>
  </si>
  <si>
    <t>Maths Is Everywhere - Continuous Provision and Outdoor Maths</t>
  </si>
  <si>
    <t>PD Mathematics RP3-26-27</t>
  </si>
  <si>
    <t>https://beyth.co.uk/course/maths-is-everywhere/</t>
  </si>
  <si>
    <t>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</si>
  <si>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Behaviour CPD Programme (Jan, Feb, March 2027) - Session 3</t>
  </si>
  <si>
    <t>Staff Supervision and Coaching – Leadership</t>
  </si>
  <si>
    <t>PD Other RP3-26-27</t>
  </si>
  <si>
    <t>https://beyth.co.uk/course/staff-supervision-and-coaching-leadership/</t>
  </si>
  <si>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</si>
  <si>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PD Early Literacy RP3-26-27</t>
  </si>
  <si>
    <t>https://beyth.co.uk/course/interactive-writing-march-27/</t>
  </si>
  <si>
    <t>PSED Network - March 2027</t>
  </si>
  <si>
    <t>NW PSED RP3-26-27</t>
  </si>
  <si>
    <t>https://beyth.co.uk/course/psed-network-march-2027/</t>
  </si>
  <si>
    <t>Leadership in the Baby Room</t>
  </si>
  <si>
    <t>Working with Babies, Leadership</t>
  </si>
  <si>
    <t>https://beyth.co.uk/course/leadership-baby-room/</t>
  </si>
  <si>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</si>
  <si>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SEND Network: Understanding and Supporting Complex Needs in the Early Years</t>
  </si>
  <si>
    <t>NW SEND RP3-26-27</t>
  </si>
  <si>
    <t>https://beyth.co.uk/course/send-network-understanding-and-supporting-complex-needs-in-the-early-years/</t>
  </si>
  <si>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</si>
  <si>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Equality, Diversity, and Inclusion Network: Reflect and Connect (March 2027)</t>
  </si>
  <si>
    <t>6:15 pm - 7:15 pm</t>
  </si>
  <si>
    <t>NW Equality, Diversity and Inclusion RP3-26-27</t>
  </si>
  <si>
    <t>https://beyth.co.uk/course/equality-diversity-and-inclusion-network-reflect-and-connect-march-2027/</t>
  </si>
  <si>
    <t>Connect, reflect and learn alongside colleagues who share a commitment to equality, diversity and inclusion — discussing current challenges, sharing effective practice, exploring real-life dilemmas and gaining fresh ideas to support your own setting.</t>
  </si>
  <si>
    <t>Responsive Communication Strategies for Babies (SALT Network Session)</t>
  </si>
  <si>
    <t>https://beyth.co.uk/course/responsive-communication-strategies-for-babies-salt-network-session/</t>
  </si>
  <si>
    <t>Explore how everyday interactions with babies support early communication, attachment and brain development, learning to recognise and respond to babies' cues and create meaningful back-and-forth interactions that nurture language and connection.</t>
  </si>
  <si>
    <t>Babies Outdoors: Exploring, Connecting and Belonging - Study Day with Archfield House</t>
  </si>
  <si>
    <t>9:30 am - 1:00 pm</t>
  </si>
  <si>
    <t>Archfield House Nursery</t>
  </si>
  <si>
    <t>PD Physical Development RP3-26-27</t>
  </si>
  <si>
    <t>Delivered in partnership with Archfield House Nursery.</t>
  </si>
  <si>
    <t>https://beyth.co.uk/course/babies-outdoors-exploring-connecting-and-belonging-study-day-with-archfield-house/</t>
  </si>
  <si>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</si>
  <si>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Leadership Matters Network (March 2027)</t>
  </si>
  <si>
    <t>NW Leadership and Staff Development RP3-26-27</t>
  </si>
  <si>
    <t>https://beyth.co.uk/course/leadership-matters-network-march-2027/</t>
  </si>
  <si>
    <t>Talking About Babies: Listening to Babies</t>
  </si>
  <si>
    <t>NW Working with Babies RP3-26-27</t>
  </si>
  <si>
    <t>https://beyth.co.uk/course/talking-about-babies-listening-to-babies/</t>
  </si>
  <si>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</si>
  <si>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EAL in the Early Years – Unlocking the Potential of Every Child (CPD Programme) - Session 1</t>
  </si>
  <si>
    <t>Presenter: Andrina Flinders, Headteacher of Fullbrook Nursery School and Lead Practitioner for the Thrive Together Stronger Practice Hub. This training will be recorded, and a version will be made available online afterwards.</t>
  </si>
  <si>
    <t>https://beyth.co.uk/course/eal-in-the-early-years-unlocking-the-potential-of-every-child-cpd-programme/</t>
  </si>
  <si>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</si>
  <si>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Childminder Network - April 2027</t>
  </si>
  <si>
    <t>NW Childminders RP3-26-27</t>
  </si>
  <si>
    <t>https://beyth.co.uk/course/childminder-network-april-2027/</t>
  </si>
  <si>
    <t>Brilliance of Block Play</t>
  </si>
  <si>
    <t>9:00 am - 12:30 pm</t>
  </si>
  <si>
    <t>Presenter: Robin Taylor, Assistant Head at St. Pauls Nursery School and Local Specialist Leader for Maths in the EYs.</t>
  </si>
  <si>
    <t>https://beyth.co.uk/course/brilliance-block-play/</t>
  </si>
  <si>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</si>
  <si>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SEND Immersion Day at St. Paul’s Nursery School - April 2027</t>
  </si>
  <si>
    <t>https://beyth.co.uk/course/send-immersion-day-at-st-pauls-nursery-school-april-2027/</t>
  </si>
  <si>
    <t>EAL in the Early Years – Unlocking the Potential of Every Child (CPD Programme) - Session 2</t>
  </si>
  <si>
    <t>https://beyth.co.uk/course/developing-an-early-years-curriculum-apr-27/</t>
  </si>
  <si>
    <t>Equality, Diversity, and Inclusion Network: Reflect and Connect (May 2027)</t>
  </si>
  <si>
    <t>6:30 pm - 7:30 pm</t>
  </si>
  <si>
    <t>https://beyth.co.uk/course/equality-diversity-and-inclusion-network-reflect-and-connect-may-2027/</t>
  </si>
  <si>
    <t>Leadership Matters Network (May 2027)</t>
  </si>
  <si>
    <t>https://beyth.co.uk/course/leadership-matters-network-may-2027/</t>
  </si>
  <si>
    <t>https://beyth.co.uk/course/quality-interactions-may-2027/</t>
  </si>
  <si>
    <t>Maths Network - May 2027</t>
  </si>
  <si>
    <t>NW Maths RP3-26-27</t>
  </si>
  <si>
    <t>https://beyth.co.uk/course/maths-network-may-2027/</t>
  </si>
  <si>
    <t>Behaviour CPD Programme (May, June, July 2027) - Session 1</t>
  </si>
  <si>
    <t>https://beyth.co.uk/course/behaviour-cpd-programme-may-june-july-2027/</t>
  </si>
  <si>
    <t>Tuning in to Twos CPD Programme - Session 1</t>
  </si>
  <si>
    <t>4:30 pm - 6:30 pm</t>
  </si>
  <si>
    <t>https://beyth.co.uk/course/tuning-in-to-twos-cpd-programme/</t>
  </si>
  <si>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</si>
  <si>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SEND Network: Working in Partnership with Parents</t>
  </si>
  <si>
    <t>https://beyth.co.uk/course/send-network-working-in-partnership-with-parents/</t>
  </si>
  <si>
    <t>Explore how to work in partnership with parents and carers of children with SEND in the early years, considering how trusting, collaborative relationships support children's communication, sensory processing, emotional regulation and developmental needs, with practical, inclusive strategies for building shared understanding between home and setting.</t>
  </si>
  <si>
    <t>https://beyth.co.uk/course/open-study-day-at-st-pauls-nursery-may-27/</t>
  </si>
  <si>
    <t>EAL in the Early Years – Unlocking the Potential of Every Child (CPD Programme) - Session 3</t>
  </si>
  <si>
    <t>Trauma Informed Practice Study Morning at Knowle West Nursery - May 2027</t>
  </si>
  <si>
    <t>https://beyth.co.uk/course/trauma-informed-practice-study-morning-at-knowle-west-nursery-may-2027/</t>
  </si>
  <si>
    <t>Tuning in to Twos CPD Programme - Session 2</t>
  </si>
  <si>
    <t>Talking About Twos: Behaviour: Regulate, Relate and Reason</t>
  </si>
  <si>
    <t>Registered Events RP4-26-27</t>
  </si>
  <si>
    <t>Attended Events RP4-26-27</t>
  </si>
  <si>
    <t>AT Network RP4-26-27</t>
  </si>
  <si>
    <t>PD PSED RP4-26-27</t>
  </si>
  <si>
    <t>NW Spotlight on Twos RP4-26-27</t>
  </si>
  <si>
    <t>https://beyth.co.uk/course/talking-about-twos-behaviour-regulate-relate-and-reason/</t>
  </si>
  <si>
    <t>Drawing on Dr Bruce Perry's work on regulate, relate and reason, explore how two-year-olds develop emotional regulation through safe, responsive relationships, and how co-regulation, connection and curiosity can support children's behaviour with confidence and resilience.</t>
  </si>
  <si>
    <t>Communication and Language Network - June 2027</t>
  </si>
  <si>
    <t>PD Communication and Language RP4-26-27</t>
  </si>
  <si>
    <t>NW Communication, Language and Literacy RP4-26-27</t>
  </si>
  <si>
    <t>https://beyth.co.uk/course/communication-and-language-network-june-2027/</t>
  </si>
  <si>
    <t>Observing Through the Eyes of a Child - The Emotional Environment and Leadership Strategies</t>
  </si>
  <si>
    <t>AT Webinar RP4-26-27</t>
  </si>
  <si>
    <t>https://beyth.co.uk/course/observing-through-the-eyes-of-a-child-the-emotional-environment-and-leadership-strategies/</t>
  </si>
  <si>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</si>
  <si>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Childminder Network - June 2027</t>
  </si>
  <si>
    <t>PD Other RP4-26-27</t>
  </si>
  <si>
    <t>NW Childminders RP4-26-27</t>
  </si>
  <si>
    <t>https://beyth.co.uk/course/childminder-network-june-2027/</t>
  </si>
  <si>
    <t>Behaviour CPD Programme (May, June, July 2027) - Session 2</t>
  </si>
  <si>
    <t>Getting It Right for Babies CPD Programme - Session 1</t>
  </si>
  <si>
    <t>https://beyth.co.uk/course/getting-it-right-for-babies-cpd-programme/</t>
  </si>
  <si>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</si>
  <si>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PSED Network - June 2027</t>
  </si>
  <si>
    <t>NW PSED RP4-26-27</t>
  </si>
  <si>
    <t>https://beyth.co.uk/course/psed-network-june-2027/</t>
  </si>
  <si>
    <t>Leadership Matters Network (June 2027)</t>
  </si>
  <si>
    <t>NW Leadership and Staff Development RP4-26-27</t>
  </si>
  <si>
    <t>https://beyth.co.uk/course/leadership-matters-network-june-2027/</t>
  </si>
  <si>
    <t>Equality, Diversity, and Inclusion Network: Reflect and Connect (July 2027)</t>
  </si>
  <si>
    <t>NW Equality, Diversity and Inclusion RP4-26-27</t>
  </si>
  <si>
    <t>https://beyth.co.uk/course/equality-diversity-and-inclusion-network-reflect-and-connect-july-2027/</t>
  </si>
  <si>
    <t>New to EYFS (For Bristol Schools Only) – Strengthening Early Years Teaching</t>
  </si>
  <si>
    <t>AT Event RP4-26-27</t>
  </si>
  <si>
    <t>https://beyth.co.uk/course/new-to-eyfs-bristol/</t>
  </si>
  <si>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</si>
  <si>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Getting It Right for Babies CPD Programme - Session 2</t>
  </si>
  <si>
    <t>Behaviour CPD Programme (May, June, July 2027) - Session 3</t>
  </si>
  <si>
    <t>https://beyth.co.uk/course/learning-through-a-continuous-provision-approach-july-27/</t>
  </si>
  <si>
    <t>Getting It Right for Babies CPD Programme - Session 3</t>
  </si>
  <si>
    <t>Talking About Babies: Mental Health and Wellbeing with Sarah Clarke</t>
  </si>
  <si>
    <t>NW Working with Babies RP4-26-27</t>
  </si>
  <si>
    <t>Presenter: Sarah Clarke</t>
  </si>
  <si>
    <t>https://beyth.co.uk/course/talking-about-babies-mental-health-and-wellbeing-with-sarah-clarke/</t>
  </si>
  <si>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</sst>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5" x14ac:knownFonts="1">
    <font>
      <sz val="11"/>
      <color theme="1"/>
      <name val="Aptos Narrow"/>
      <family val="2"/>
      <charset val="1"/>
    </font>
    <font>
      <b/>
      <sz val="11"/>
      <name val="Aptos Narrow"/>
      <charset val="1"/>
    </font>
    <font>
      <sz val="11"/>
      <name val="Aptos Narrow"/>
      <charset val="1"/>
    </font>
    <font>
      <sz val="12"/>
      <color theme="10"/>
      <name val="Calibri"/>
      <family val="2"/>
      <charset val="1"/>
    </font>
    <font>
      <u/>
      <sz val="11"/>
      <color theme="10"/>
      <name val="Aptos Narrow"/>
      <family val="2"/>
      <charset val="1"/>
    </font>
  </fonts>
  <fills count="8">
    <fill>
      <patternFill patternType="none"/>
    </fill>
    <fill>
      <patternFill patternType="gray125"/>
    </fill>
    <fill>
      <patternFill patternType="solid">
        <fgColor rgb="FF92D050"/>
        <bgColor rgb="FFC0C0C0"/>
      </patternFill>
    </fill>
    <fill>
      <patternFill patternType="solid">
        <fgColor rgb="FFFFC000"/>
        <bgColor rgb="FFFF9900"/>
      </patternFill>
    </fill>
    <fill>
      <patternFill patternType="solid">
        <fgColor rgb="FF92D050"/>
        <bgColor rgb="FF33CCCC"/>
      </patternFill>
    </fill>
    <fill>
      <patternFill patternType="solid">
        <fgColor rgb="FFFF0000"/>
        <bgColor indexed="64"/>
      </patternFill>
    </fill>
    <fill>
      <patternFill patternType="solid">
        <fgColor rgb="FF7030A0"/>
        <bgColor rgb="FF33CCCC"/>
      </patternFill>
    </fill>
    <fill>
      <patternFill patternType="solid">
        <fgColor rgb="FF7030A0"/>
        <bgColor indexed="64"/>
      </patternFill>
    </fill>
  </fills>
  <borders count="1">
    <border>
      <left/>
      <right/>
      <top/>
      <bottom/>
      <diagonal/>
    </border>
  </borders>
  <cellStyleXfs count="1">
    <xf numFmtId="0" fontId="0" fillId="0" borderId="0"/>
  </cellStyleXfs>
  <cellXfs count="15">
    <xf numFmtId="0" fontId="0" fillId="0" borderId="0" xfId="0"/>
    <xf numFmtId="164" fontId="0" fillId="0" borderId="0" xfId="0" applyNumberFormat="1"/>
    <xf numFmtId="1" fontId="0" fillId="0" borderId="0" xfId="0" applyNumberFormat="1"/>
    <xf numFmtId="0" fontId="1" fillId="0" borderId="0" xfId="0" applyFont="1"/>
    <xf numFmtId="164" fontId="1" fillId="0" borderId="0" xfId="0" applyNumberFormat="1" applyFont="1"/>
    <xf numFmtId="1" fontId="1" fillId="0" borderId="0" xfId="0" applyNumberFormat="1" applyFont="1"/>
    <xf numFmtId="0" fontId="2" fillId="2" borderId="0" xfId="0" applyFont="1" applyFill="1" applyAlignment="1">
      <alignment vertical="center" wrapText="1"/>
    </xf>
    <xf numFmtId="14" fontId="0" fillId="0" borderId="0" xfId="0" applyNumberFormat="1"/>
    <xf numFmtId="0" fontId="3" fillId="0" borderId="0" xfId="0" applyFont="1"/>
    <xf numFmtId="0" fontId="2" fillId="3" borderId="0" xfId="0" applyFont="1" applyFill="1" applyAlignment="1">
      <alignment vertical="center" wrapText="1"/>
    </xf>
    <xf numFmtId="0" fontId="4" fillId="0" borderId="0" xfId="0" applyFont="1"/>
    <xf numFmtId="0" fontId="2" fillId="4" borderId="0" xfId="0" applyFont="1" applyFill="1" applyAlignment="1">
      <alignment vertical="center" wrapText="1"/>
    </xf>
    <xf numFmtId="164" fontId="0" fillId="5" borderId="0" xfId="0" applyNumberFormat="1" applyFill="1"/>
    <xf numFmtId="0" fontId="2" fillId="6" borderId="0" xfId="0" applyFont="1" applyFill="1" applyAlignment="1">
      <alignment vertical="center" wrapText="1"/>
    </xf>
    <xf numFmtId="1" fontId="0" fillId="7" borderId="0" xfId="0" applyNumberFormat="1"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RP12627" displayName="TableRP12627" ref="A1:U27" totalsRowShown="0">
  <autoFilter ref="A1:U27" xr:uid="{00000000-0009-0000-0100-000001000000}"/>
  <tableColumns count="21">
    <tableColumn id="1" xr3:uid="{00000000-0010-0000-0000-000001000000}" name="Event Name"/>
    <tableColumn id="2" xr3:uid="{00000000-0010-0000-0000-000002000000}" name="Activity Date"/>
    <tableColumn id="3" xr3:uid="{00000000-0010-0000-0000-000003000000}" name="Day of Week"/>
    <tableColumn id="4" xr3:uid="{00000000-0010-0000-0000-000004000000}" name="Time"/>
    <tableColumn id="5" xr3:uid="{00000000-0010-0000-0000-000005000000}" name="Brochure Category"/>
    <tableColumn id="6" xr3:uid="{00000000-0010-0000-0000-000006000000}" name="Location"/>
    <tableColumn id="7" xr3:uid="{00000000-0010-0000-0000-000007000000}" name="Number of Tickets"/>
    <tableColumn id="8" xr3:uid="{00000000-0010-0000-0000-000008000000}" name="Period Registered"/>
    <tableColumn id="9" xr3:uid="{00000000-0010-0000-0000-000009000000}" name="Period Attended"/>
    <tableColumn id="10" xr3:uid="{00000000-0010-0000-0000-00000A000000}" name="Activity Type"/>
    <tableColumn id="11" xr3:uid="{00000000-0010-0000-0000-00000B000000}" name="Professional Development Category"/>
    <tableColumn id="12" xr3:uid="{00000000-0010-0000-0000-00000C000000}" name="Network"/>
    <tableColumn id="13" xr3:uid="{00000000-0010-0000-0000-00000D000000}" name="Mailing List Subscriptions"/>
    <tableColumn id="14" xr3:uid="{00000000-0010-0000-0000-00000E000000}" name="CPD Bundle for Survey"/>
    <tableColumn id="15" xr3:uid="{00000000-0010-0000-0000-00000F000000}" name="Workflows Configured"/>
    <tableColumn id="16" xr3:uid="{00000000-0010-0000-0000-000010000000}" name="Notes"/>
    <tableColumn id="17" xr3:uid="{00000000-0010-0000-0000-000011000000}" name="Website URL"/>
    <tableColumn id="18" xr3:uid="{00000000-0010-0000-0000-000012000000}" name="Short Description"/>
    <tableColumn id="19" xr3:uid="{00000000-0010-0000-0000-000013000000}" name="Regional/Local"/>
    <tableColumn id="20" xr3:uid="{00000000-0010-0000-0000-000014000000}" name="Registration"/>
    <tableColumn id="21" xr3:uid="{00000000-0010-0000-0000-000015000000}" name="Processed for Report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RP22627" displayName="TableRP22627" ref="A1:U36" totalsRowShown="0">
  <autoFilter ref="A1:U36" xr:uid="{00000000-0009-0000-0100-000002000000}"/>
  <tableColumns count="21">
    <tableColumn id="1" xr3:uid="{00000000-0010-0000-0100-000001000000}" name="Event Name"/>
    <tableColumn id="2" xr3:uid="{00000000-0010-0000-0100-000002000000}" name="Activity Date"/>
    <tableColumn id="3" xr3:uid="{00000000-0010-0000-0100-000003000000}" name="Day of Week"/>
    <tableColumn id="4" xr3:uid="{00000000-0010-0000-0100-000004000000}" name="Time"/>
    <tableColumn id="5" xr3:uid="{00000000-0010-0000-0100-000005000000}" name="Brochure Category"/>
    <tableColumn id="6" xr3:uid="{00000000-0010-0000-0100-000006000000}" name="Location"/>
    <tableColumn id="7" xr3:uid="{00000000-0010-0000-0100-000007000000}" name="Number of Tickets"/>
    <tableColumn id="8" xr3:uid="{00000000-0010-0000-0100-000008000000}" name="Period Registered"/>
    <tableColumn id="9" xr3:uid="{00000000-0010-0000-0100-000009000000}" name="Period Attended"/>
    <tableColumn id="10" xr3:uid="{00000000-0010-0000-0100-00000A000000}" name="Activity Type"/>
    <tableColumn id="11" xr3:uid="{00000000-0010-0000-0100-00000B000000}" name="Professional Development Category"/>
    <tableColumn id="12" xr3:uid="{00000000-0010-0000-0100-00000C000000}" name="Network"/>
    <tableColumn id="13" xr3:uid="{00000000-0010-0000-0100-00000D000000}" name="Mailing List Subscriptions"/>
    <tableColumn id="14" xr3:uid="{00000000-0010-0000-0100-00000E000000}" name="CPD Bundle for Survey"/>
    <tableColumn id="15" xr3:uid="{00000000-0010-0000-0100-00000F000000}" name="Workflows Configured"/>
    <tableColumn id="16" xr3:uid="{00000000-0010-0000-0100-000010000000}" name="Notes"/>
    <tableColumn id="17" xr3:uid="{00000000-0010-0000-0100-000011000000}" name="Website URL"/>
    <tableColumn id="18" xr3:uid="{00000000-0010-0000-0100-000012000000}" name="Short Description"/>
    <tableColumn id="19" xr3:uid="{00000000-0010-0000-0100-000013000000}" name="Regional/Local"/>
    <tableColumn id="20" xr3:uid="{00000000-0010-0000-0100-000014000000}" name="Registration"/>
    <tableColumn id="21" xr3:uid="{00000000-0010-0000-0100-000015000000}" name="Processed for Report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RP32627" displayName="TableRP32627" ref="A1:U33" totalsRowShown="0">
  <autoFilter ref="A1:U33" xr:uid="{00000000-0009-0000-0100-000003000000}"/>
  <tableColumns count="21">
    <tableColumn id="1" xr3:uid="{00000000-0010-0000-0200-000001000000}" name="Event Name"/>
    <tableColumn id="2" xr3:uid="{00000000-0010-0000-0200-000002000000}" name="Activity Date"/>
    <tableColumn id="3" xr3:uid="{00000000-0010-0000-0200-000003000000}" name="Day of Week"/>
    <tableColumn id="4" xr3:uid="{00000000-0010-0000-0200-000004000000}" name="Time"/>
    <tableColumn id="5" xr3:uid="{00000000-0010-0000-0200-000005000000}" name="Brochure Category"/>
    <tableColumn id="6" xr3:uid="{00000000-0010-0000-0200-000006000000}" name="Location"/>
    <tableColumn id="7" xr3:uid="{00000000-0010-0000-0200-000007000000}" name="Number of Tickets"/>
    <tableColumn id="8" xr3:uid="{00000000-0010-0000-0200-000008000000}" name="Period Registered"/>
    <tableColumn id="9" xr3:uid="{00000000-0010-0000-0200-000009000000}" name="Period Attended"/>
    <tableColumn id="10" xr3:uid="{00000000-0010-0000-0200-00000A000000}" name="Activity Type"/>
    <tableColumn id="11" xr3:uid="{00000000-0010-0000-0200-00000B000000}" name="Professional Development Category"/>
    <tableColumn id="12" xr3:uid="{00000000-0010-0000-0200-00000C000000}" name="Network"/>
    <tableColumn id="13" xr3:uid="{00000000-0010-0000-0200-00000D000000}" name="Mailing List Subscriptions"/>
    <tableColumn id="14" xr3:uid="{00000000-0010-0000-0200-00000E000000}" name="CPD Bundle for Survey"/>
    <tableColumn id="15" xr3:uid="{00000000-0010-0000-0200-00000F000000}" name="Workflows Configured"/>
    <tableColumn id="16" xr3:uid="{00000000-0010-0000-0200-000010000000}" name="Notes"/>
    <tableColumn id="17" xr3:uid="{00000000-0010-0000-0200-000011000000}" name="Website URL"/>
    <tableColumn id="18" xr3:uid="{00000000-0010-0000-0200-000012000000}" name="Short Description"/>
    <tableColumn id="19" xr3:uid="{00000000-0010-0000-0200-000013000000}" name="Regional/Local"/>
    <tableColumn id="20" xr3:uid="{00000000-0010-0000-0200-000014000000}" name="Registration"/>
    <tableColumn id="21" xr3:uid="{00000000-0010-0000-0200-000015000000}" name="Processed for Report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RP42627" displayName="TableRP42627" ref="A1:U16" totalsRowShown="0">
  <autoFilter ref="A1:U16" xr:uid="{00000000-0009-0000-0100-000004000000}"/>
  <tableColumns count="21">
    <tableColumn id="1" xr3:uid="{00000000-0010-0000-0300-000001000000}" name="Event Name"/>
    <tableColumn id="2" xr3:uid="{00000000-0010-0000-0300-000002000000}" name="Activity Date"/>
    <tableColumn id="3" xr3:uid="{00000000-0010-0000-0300-000003000000}" name="Day of Week"/>
    <tableColumn id="4" xr3:uid="{00000000-0010-0000-0300-000004000000}" name="Time"/>
    <tableColumn id="5" xr3:uid="{00000000-0010-0000-0300-000005000000}" name="Brochure Category"/>
    <tableColumn id="6" xr3:uid="{00000000-0010-0000-0300-000006000000}" name="Location"/>
    <tableColumn id="7" xr3:uid="{00000000-0010-0000-0300-000007000000}" name="Number of Tickets"/>
    <tableColumn id="8" xr3:uid="{00000000-0010-0000-0300-000008000000}" name="Period Registered"/>
    <tableColumn id="9" xr3:uid="{00000000-0010-0000-0300-000009000000}" name="Period Attended"/>
    <tableColumn id="10" xr3:uid="{00000000-0010-0000-0300-00000A000000}" name="Activity Type"/>
    <tableColumn id="11" xr3:uid="{00000000-0010-0000-0300-00000B000000}" name="Professional Development Category"/>
    <tableColumn id="12" xr3:uid="{00000000-0010-0000-0300-00000C000000}" name="Network"/>
    <tableColumn id="13" xr3:uid="{00000000-0010-0000-0300-00000D000000}" name="Mailing List Subscriptions"/>
    <tableColumn id="14" xr3:uid="{00000000-0010-0000-0300-00000E000000}" name="CPD Bundle for Survey"/>
    <tableColumn id="15" xr3:uid="{00000000-0010-0000-0300-00000F000000}" name="Workflows Configured"/>
    <tableColumn id="16" xr3:uid="{00000000-0010-0000-0300-000010000000}" name="Notes"/>
    <tableColumn id="17" xr3:uid="{00000000-0010-0000-0300-000011000000}" name="Website URL"/>
    <tableColumn id="18" xr3:uid="{00000000-0010-0000-0300-000012000000}" name="Short Description"/>
    <tableColumn id="19" xr3:uid="{00000000-0010-0000-0300-000013000000}" name="Regional/Local"/>
    <tableColumn id="20" xr3:uid="{00000000-0010-0000-0300-000014000000}" name="Registration"/>
    <tableColumn id="21" xr3:uid="{00000000-0010-0000-0300-000015000000}" name="Processed for Report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beyth.co.uk/course/cpd-programme-getting-it-right-for-twos-2026/" TargetMode="External"/><Relationship Id="rId13" Type="http://schemas.openxmlformats.org/officeDocument/2006/relationships/hyperlink" Target="https://beyth.co.uk/course/emotion-coaching-to-support-self-regulation/" TargetMode="External"/><Relationship Id="rId3" Type="http://schemas.openxmlformats.org/officeDocument/2006/relationships/hyperlink" Target="https://beyth.co.uk/course/leadership-matters-network-october-2026/" TargetMode="External"/><Relationship Id="rId7" Type="http://schemas.openxmlformats.org/officeDocument/2006/relationships/hyperlink" Target="https://beyth.co.uk/course/mathematising-the-day-october-2026/" TargetMode="External"/><Relationship Id="rId12" Type="http://schemas.openxmlformats.org/officeDocument/2006/relationships/hyperlink" Target="https://beyth.co.uk/course/cpd-programme-getting-it-right-for-twos-2026/" TargetMode="External"/><Relationship Id="rId2" Type="http://schemas.openxmlformats.org/officeDocument/2006/relationships/hyperlink" Target="https://beyth.co.uk/course/using-visuals-to-support-speech-language-and-communication-salt-network-session/" TargetMode="External"/><Relationship Id="rId1" Type="http://schemas.openxmlformats.org/officeDocument/2006/relationships/hyperlink" Target="https://beyth.co.uk/course/autumn-outdoor-learning-morning-for-childminders-and-children/" TargetMode="External"/><Relationship Id="rId6" Type="http://schemas.openxmlformats.org/officeDocument/2006/relationships/hyperlink" Target="https://beyth.co.uk/course/talking-with-babies-oct-2026/" TargetMode="External"/><Relationship Id="rId11" Type="http://schemas.openxmlformats.org/officeDocument/2006/relationships/hyperlink" Target="https://beyth.co.uk/course/somerset-baby-practitioner-network-meeting-november-2026/" TargetMode="External"/><Relationship Id="rId5" Type="http://schemas.openxmlformats.org/officeDocument/2006/relationships/hyperlink" Target="https://beyth.co.uk/course/childminder-network-running-a-sustainable-childminding-business/" TargetMode="External"/><Relationship Id="rId10" Type="http://schemas.openxmlformats.org/officeDocument/2006/relationships/hyperlink" Target="https://beyth.co.uk/course/cpd-programme-using-evidence-to-strengthen-your-early-years-leadership-2026/" TargetMode="External"/><Relationship Id="rId4" Type="http://schemas.openxmlformats.org/officeDocument/2006/relationships/hyperlink" Target="https://beyth.co.uk/course/october-outdoor-learning-morning-for-childminders-and-children/" TargetMode="External"/><Relationship Id="rId9" Type="http://schemas.openxmlformats.org/officeDocument/2006/relationships/hyperlink" Target="https://beyth.co.uk/course/mathematising-the-day-study-morning-hartcliffe-nursery/" TargetMode="External"/><Relationship Id="rId1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beyth.co.uk/course/leadership-matters-network-february-2027/" TargetMode="External"/><Relationship Id="rId3" Type="http://schemas.openxmlformats.org/officeDocument/2006/relationships/hyperlink" Target="https://beyth.co.uk/course/leadership-matters-network-december-2026/" TargetMode="External"/><Relationship Id="rId7" Type="http://schemas.openxmlformats.org/officeDocument/2006/relationships/hyperlink" Target="https://beyth.co.uk/course/talking-about-twos-removing-barriers-creating-opportunities/" TargetMode="External"/><Relationship Id="rId12" Type="http://schemas.openxmlformats.org/officeDocument/2006/relationships/table" Target="../tables/table2.xml"/><Relationship Id="rId2" Type="http://schemas.openxmlformats.org/officeDocument/2006/relationships/hyperlink" Target="https://beyth.co.uk/course/cpd-programme-using-evidence-to-strengthen-your-early-years-leadership-2026/" TargetMode="External"/><Relationship Id="rId1" Type="http://schemas.openxmlformats.org/officeDocument/2006/relationships/hyperlink" Target="https://beyth.co.uk/course/childminder-network-leading-a-team/" TargetMode="External"/><Relationship Id="rId6" Type="http://schemas.openxmlformats.org/officeDocument/2006/relationships/hyperlink" Target="https://beyth.co.uk/course/quality-interactions-toolkit-roadshow-29th-january-2027/" TargetMode="External"/><Relationship Id="rId11" Type="http://schemas.openxmlformats.org/officeDocument/2006/relationships/hyperlink" Target="https://beyth.co.uk/course/quality-interactions-toolkit-roadshow-12th-february-2027/" TargetMode="External"/><Relationship Id="rId5" Type="http://schemas.openxmlformats.org/officeDocument/2006/relationships/hyperlink" Target="https://beyth.co.uk/course/authentic-ambitious-and-values-based-leadership/" TargetMode="External"/><Relationship Id="rId10" Type="http://schemas.openxmlformats.org/officeDocument/2006/relationships/hyperlink" Target="https://beyth.co.uk/course/courageous-conversations-leadership-2027/" TargetMode="External"/><Relationship Id="rId4" Type="http://schemas.openxmlformats.org/officeDocument/2006/relationships/hyperlink" Target="https://beyth.co.uk/course/cpd-programme-getting-it-right-for-twos-2026/" TargetMode="External"/><Relationship Id="rId9" Type="http://schemas.openxmlformats.org/officeDocument/2006/relationships/hyperlink" Target="https://beyth.co.uk/course/quality-interactions-toolkit-roadshow-5th-february-2027/"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beyth.co.uk/course/eal-in-the-early-years-unlocking-the-potential-of-every-child-cpd-programme/" TargetMode="External"/><Relationship Id="rId2" Type="http://schemas.openxmlformats.org/officeDocument/2006/relationships/hyperlink" Target="https://beyth.co.uk/course/brilliance-block-play/" TargetMode="External"/><Relationship Id="rId1" Type="http://schemas.openxmlformats.org/officeDocument/2006/relationships/hyperlink" Target="https://beyth.co.uk/course/maths-is-everywhere/" TargetMode="External"/><Relationship Id="rId6" Type="http://schemas.openxmlformats.org/officeDocument/2006/relationships/table" Target="../tables/table3.xml"/><Relationship Id="rId5" Type="http://schemas.openxmlformats.org/officeDocument/2006/relationships/hyperlink" Target="https://beyth.co.uk/course/tuning-in-to-twos-cpd-programme/" TargetMode="External"/><Relationship Id="rId4" Type="http://schemas.openxmlformats.org/officeDocument/2006/relationships/hyperlink" Target="https://beyth.co.uk/course/eal-in-the-early-years-unlocking-the-potential-of-every-child-cpd-programme/"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https://beyth.co.uk/course/psed-network-june-20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7"/>
  <sheetViews>
    <sheetView tabSelected="1" zoomScaleNormal="100" workbookViewId="0">
      <pane ySplit="1" topLeftCell="A2" activePane="bottomLeft" state="frozen"/>
      <selection pane="bottomLeft" activeCell="N11" sqref="N11"/>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21</v>
      </c>
      <c r="B2" s="7">
        <v>46288</v>
      </c>
      <c r="C2" s="1" t="str">
        <f t="shared" ref="C2:C27" si="0">IF(B2="","",TEXT(B2,"dddd"))</f>
        <v>Wednesday</v>
      </c>
      <c r="D2" s="1" t="s">
        <v>22</v>
      </c>
      <c r="E2" s="1" t="s">
        <v>23</v>
      </c>
      <c r="F2" s="1" t="s">
        <v>24</v>
      </c>
      <c r="G2" s="2">
        <v>10</v>
      </c>
      <c r="H2" t="s">
        <v>25</v>
      </c>
      <c r="I2" t="s">
        <v>26</v>
      </c>
      <c r="J2" t="s">
        <v>27</v>
      </c>
      <c r="K2" t="s">
        <v>28</v>
      </c>
      <c r="M2" t="s">
        <v>23</v>
      </c>
      <c r="N2" t="s">
        <v>41</v>
      </c>
      <c r="O2" t="s">
        <v>29</v>
      </c>
      <c r="Q2" s="8" t="s">
        <v>30</v>
      </c>
      <c r="R2" t="s">
        <v>31</v>
      </c>
      <c r="S2" t="s">
        <v>32</v>
      </c>
      <c r="T2" t="s">
        <v>33</v>
      </c>
      <c r="U2" t="b">
        <f>FALSE()</f>
        <v>0</v>
      </c>
    </row>
    <row r="3" spans="1:21" ht="30" customHeight="1" x14ac:dyDescent="0.25">
      <c r="A3" s="6" t="s">
        <v>34</v>
      </c>
      <c r="B3" s="7">
        <v>46300</v>
      </c>
      <c r="C3" s="1" t="str">
        <f t="shared" si="0"/>
        <v>Monday</v>
      </c>
      <c r="D3" s="1" t="s">
        <v>35</v>
      </c>
      <c r="E3" s="1" t="s">
        <v>36</v>
      </c>
      <c r="F3" s="1" t="s">
        <v>37</v>
      </c>
      <c r="G3" s="2">
        <v>80</v>
      </c>
      <c r="H3" t="s">
        <v>25</v>
      </c>
      <c r="I3" t="s">
        <v>26</v>
      </c>
      <c r="J3" t="s">
        <v>38</v>
      </c>
      <c r="K3" t="s">
        <v>39</v>
      </c>
      <c r="L3" t="s">
        <v>40</v>
      </c>
      <c r="M3" t="s">
        <v>36</v>
      </c>
      <c r="N3" t="s">
        <v>41</v>
      </c>
      <c r="O3" t="s">
        <v>29</v>
      </c>
      <c r="Q3" s="8" t="s">
        <v>42</v>
      </c>
      <c r="R3" t="s">
        <v>43</v>
      </c>
      <c r="S3" t="s">
        <v>32</v>
      </c>
      <c r="T3" t="s">
        <v>33</v>
      </c>
      <c r="U3" t="b">
        <f>FALSE()</f>
        <v>0</v>
      </c>
    </row>
    <row r="4" spans="1:21" ht="15" customHeight="1" x14ac:dyDescent="0.25">
      <c r="A4" s="6" t="s">
        <v>44</v>
      </c>
      <c r="B4" s="7">
        <v>46302</v>
      </c>
      <c r="C4" s="1" t="str">
        <f t="shared" si="0"/>
        <v>Wednesday</v>
      </c>
      <c r="D4" s="1" t="s">
        <v>45</v>
      </c>
      <c r="E4" s="1" t="s">
        <v>46</v>
      </c>
      <c r="F4" s="1" t="s">
        <v>37</v>
      </c>
      <c r="G4" s="2">
        <v>80</v>
      </c>
      <c r="H4" t="s">
        <v>25</v>
      </c>
      <c r="I4" t="s">
        <v>26</v>
      </c>
      <c r="J4" t="s">
        <v>38</v>
      </c>
      <c r="K4" t="s">
        <v>28</v>
      </c>
      <c r="L4" t="s">
        <v>47</v>
      </c>
      <c r="M4" t="s">
        <v>46</v>
      </c>
      <c r="N4" t="s">
        <v>41</v>
      </c>
      <c r="O4" t="s">
        <v>29</v>
      </c>
      <c r="Q4" s="8" t="s">
        <v>48</v>
      </c>
      <c r="R4" t="s">
        <v>49</v>
      </c>
      <c r="S4" t="s">
        <v>32</v>
      </c>
      <c r="T4" t="s">
        <v>33</v>
      </c>
      <c r="U4" t="b">
        <f>FALSE()</f>
        <v>0</v>
      </c>
    </row>
    <row r="5" spans="1:21" ht="30" customHeight="1" x14ac:dyDescent="0.25">
      <c r="A5" s="6" t="s">
        <v>50</v>
      </c>
      <c r="B5" s="7">
        <v>46302</v>
      </c>
      <c r="C5" s="1" t="str">
        <f t="shared" si="0"/>
        <v>Wednesday</v>
      </c>
      <c r="D5" s="1" t="s">
        <v>51</v>
      </c>
      <c r="E5" s="1" t="s">
        <v>52</v>
      </c>
      <c r="F5" s="1" t="s">
        <v>37</v>
      </c>
      <c r="G5" s="2">
        <v>80</v>
      </c>
      <c r="H5" t="s">
        <v>25</v>
      </c>
      <c r="I5" t="s">
        <v>26</v>
      </c>
      <c r="J5" t="s">
        <v>38</v>
      </c>
      <c r="K5" t="s">
        <v>53</v>
      </c>
      <c r="L5" t="s">
        <v>54</v>
      </c>
      <c r="M5" t="s">
        <v>52</v>
      </c>
      <c r="N5" t="s">
        <v>41</v>
      </c>
      <c r="O5" t="s">
        <v>29</v>
      </c>
      <c r="P5" t="s">
        <v>55</v>
      </c>
      <c r="Q5" s="8" t="s">
        <v>56</v>
      </c>
      <c r="R5" t="s">
        <v>57</v>
      </c>
      <c r="S5" t="s">
        <v>32</v>
      </c>
      <c r="T5" t="s">
        <v>33</v>
      </c>
      <c r="U5" t="b">
        <f>FALSE()</f>
        <v>0</v>
      </c>
    </row>
    <row r="6" spans="1:21" ht="30" customHeight="1" x14ac:dyDescent="0.25">
      <c r="A6" s="6" t="s">
        <v>58</v>
      </c>
      <c r="B6" s="7">
        <v>46303</v>
      </c>
      <c r="C6" s="1" t="str">
        <f t="shared" si="0"/>
        <v>Thursday</v>
      </c>
      <c r="D6" s="1" t="s">
        <v>22</v>
      </c>
      <c r="E6" s="1" t="s">
        <v>23</v>
      </c>
      <c r="F6" s="1" t="s">
        <v>59</v>
      </c>
      <c r="G6" s="2">
        <v>10</v>
      </c>
      <c r="H6" t="s">
        <v>25</v>
      </c>
      <c r="I6" t="s">
        <v>26</v>
      </c>
      <c r="J6" t="s">
        <v>27</v>
      </c>
      <c r="K6" t="s">
        <v>28</v>
      </c>
      <c r="M6" t="s">
        <v>23</v>
      </c>
      <c r="N6" t="s">
        <v>41</v>
      </c>
      <c r="O6" t="s">
        <v>29</v>
      </c>
      <c r="Q6" s="8" t="s">
        <v>60</v>
      </c>
      <c r="R6" t="s">
        <v>31</v>
      </c>
      <c r="S6" t="s">
        <v>32</v>
      </c>
      <c r="T6" t="s">
        <v>33</v>
      </c>
      <c r="U6" t="b">
        <f>FALSE()</f>
        <v>0</v>
      </c>
    </row>
    <row r="7" spans="1:21" ht="30" customHeight="1" x14ac:dyDescent="0.25">
      <c r="A7" s="6" t="s">
        <v>61</v>
      </c>
      <c r="B7" s="7">
        <v>46307</v>
      </c>
      <c r="C7" s="1" t="str">
        <f t="shared" si="0"/>
        <v>Monday</v>
      </c>
      <c r="D7" s="1" t="s">
        <v>62</v>
      </c>
      <c r="E7" s="1" t="s">
        <v>63</v>
      </c>
      <c r="F7" s="1" t="s">
        <v>37</v>
      </c>
      <c r="G7" s="2">
        <v>80</v>
      </c>
      <c r="H7" t="s">
        <v>25</v>
      </c>
      <c r="I7" t="s">
        <v>26</v>
      </c>
      <c r="J7" t="s">
        <v>64</v>
      </c>
      <c r="K7" t="s">
        <v>28</v>
      </c>
      <c r="M7" t="s">
        <v>63</v>
      </c>
      <c r="N7" t="s">
        <v>41</v>
      </c>
      <c r="O7" t="s">
        <v>29</v>
      </c>
      <c r="P7" t="s">
        <v>65</v>
      </c>
      <c r="Q7" s="8" t="s">
        <v>66</v>
      </c>
      <c r="R7" t="s">
        <v>67</v>
      </c>
      <c r="S7" t="s">
        <v>32</v>
      </c>
      <c r="T7" t="s">
        <v>33</v>
      </c>
      <c r="U7" t="b">
        <f>FALSE()</f>
        <v>0</v>
      </c>
    </row>
    <row r="8" spans="1:21" ht="30" customHeight="1" x14ac:dyDescent="0.25">
      <c r="A8" s="6" t="s">
        <v>68</v>
      </c>
      <c r="B8" s="7">
        <v>46308</v>
      </c>
      <c r="C8" s="1" t="str">
        <f t="shared" si="0"/>
        <v>Tuesday</v>
      </c>
      <c r="D8" s="1" t="s">
        <v>69</v>
      </c>
      <c r="E8" s="1" t="s">
        <v>23</v>
      </c>
      <c r="F8" s="1" t="s">
        <v>37</v>
      </c>
      <c r="G8" s="2">
        <v>100</v>
      </c>
      <c r="H8" t="s">
        <v>25</v>
      </c>
      <c r="I8" t="s">
        <v>26</v>
      </c>
      <c r="J8" t="s">
        <v>38</v>
      </c>
      <c r="K8" t="s">
        <v>28</v>
      </c>
      <c r="L8" t="s">
        <v>70</v>
      </c>
      <c r="M8" t="s">
        <v>23</v>
      </c>
      <c r="N8" t="s">
        <v>41</v>
      </c>
      <c r="O8" t="s">
        <v>29</v>
      </c>
      <c r="Q8" s="8" t="s">
        <v>71</v>
      </c>
      <c r="R8" t="s">
        <v>72</v>
      </c>
      <c r="S8" t="s">
        <v>32</v>
      </c>
      <c r="T8" t="s">
        <v>33</v>
      </c>
      <c r="U8" t="b">
        <f>FALSE()</f>
        <v>0</v>
      </c>
    </row>
    <row r="9" spans="1:21" ht="15" customHeight="1" x14ac:dyDescent="0.25">
      <c r="A9" s="6" t="s">
        <v>73</v>
      </c>
      <c r="B9" s="7">
        <v>46309</v>
      </c>
      <c r="C9" s="1" t="str">
        <f t="shared" si="0"/>
        <v>Wednesday</v>
      </c>
      <c r="D9" s="1" t="s">
        <v>74</v>
      </c>
      <c r="E9" s="1" t="s">
        <v>75</v>
      </c>
      <c r="F9" s="1" t="s">
        <v>37</v>
      </c>
      <c r="G9" s="2">
        <v>80</v>
      </c>
      <c r="H9" t="s">
        <v>25</v>
      </c>
      <c r="I9" t="s">
        <v>26</v>
      </c>
      <c r="J9" t="s">
        <v>64</v>
      </c>
      <c r="K9" t="s">
        <v>28</v>
      </c>
      <c r="M9" t="s">
        <v>75</v>
      </c>
      <c r="N9" t="s">
        <v>41</v>
      </c>
      <c r="O9" t="s">
        <v>29</v>
      </c>
      <c r="Q9" s="8" t="s">
        <v>76</v>
      </c>
      <c r="R9" t="s">
        <v>77</v>
      </c>
      <c r="S9" t="s">
        <v>32</v>
      </c>
      <c r="T9" t="s">
        <v>33</v>
      </c>
      <c r="U9" t="b">
        <f>FALSE()</f>
        <v>0</v>
      </c>
    </row>
    <row r="10" spans="1:21" ht="27.75" customHeight="1" x14ac:dyDescent="0.25">
      <c r="A10" s="6" t="s">
        <v>78</v>
      </c>
      <c r="B10" s="7">
        <v>46315</v>
      </c>
      <c r="C10" s="1" t="str">
        <f t="shared" si="0"/>
        <v>Tuesday</v>
      </c>
      <c r="D10" s="1" t="s">
        <v>69</v>
      </c>
      <c r="E10" s="1" t="s">
        <v>23</v>
      </c>
      <c r="F10" s="1" t="s">
        <v>37</v>
      </c>
      <c r="G10" s="2">
        <v>80</v>
      </c>
      <c r="H10" t="s">
        <v>25</v>
      </c>
      <c r="I10" t="s">
        <v>26</v>
      </c>
      <c r="J10" t="s">
        <v>64</v>
      </c>
      <c r="K10" t="s">
        <v>79</v>
      </c>
      <c r="M10" t="s">
        <v>23</v>
      </c>
      <c r="N10" t="s">
        <v>41</v>
      </c>
      <c r="O10" t="s">
        <v>29</v>
      </c>
      <c r="P10" t="s">
        <v>80</v>
      </c>
      <c r="Q10" s="8" t="s">
        <v>81</v>
      </c>
      <c r="R10" t="s">
        <v>82</v>
      </c>
      <c r="S10" t="s">
        <v>32</v>
      </c>
      <c r="T10" t="s">
        <v>33</v>
      </c>
      <c r="U10" t="b">
        <f>FALSE()</f>
        <v>0</v>
      </c>
    </row>
    <row r="11" spans="1:21" ht="30" customHeight="1" x14ac:dyDescent="0.25">
      <c r="A11" s="6" t="s">
        <v>83</v>
      </c>
      <c r="B11" s="7">
        <v>46315</v>
      </c>
      <c r="C11" s="1" t="str">
        <f t="shared" si="0"/>
        <v>Tuesday</v>
      </c>
      <c r="D11" s="1" t="s">
        <v>84</v>
      </c>
      <c r="E11" s="1" t="s">
        <v>46</v>
      </c>
      <c r="F11" s="1" t="s">
        <v>85</v>
      </c>
      <c r="G11" s="2">
        <v>16</v>
      </c>
      <c r="H11" t="s">
        <v>25</v>
      </c>
      <c r="I11" t="s">
        <v>26</v>
      </c>
      <c r="J11" t="s">
        <v>27</v>
      </c>
      <c r="K11" t="s">
        <v>28</v>
      </c>
      <c r="M11" t="s">
        <v>86</v>
      </c>
      <c r="N11" t="s">
        <v>29</v>
      </c>
      <c r="O11" t="s">
        <v>29</v>
      </c>
      <c r="P11" t="s">
        <v>87</v>
      </c>
      <c r="Q11" s="8" t="s">
        <v>88</v>
      </c>
      <c r="R11" t="s">
        <v>89</v>
      </c>
      <c r="S11" t="s">
        <v>32</v>
      </c>
      <c r="T11" t="s">
        <v>33</v>
      </c>
      <c r="U11" t="b">
        <f>FALSE()</f>
        <v>0</v>
      </c>
    </row>
    <row r="12" spans="1:21" ht="30" customHeight="1" x14ac:dyDescent="0.25">
      <c r="A12" s="6" t="s">
        <v>90</v>
      </c>
      <c r="B12" s="7">
        <v>46316</v>
      </c>
      <c r="C12" s="1" t="str">
        <f t="shared" si="0"/>
        <v>Wednesday</v>
      </c>
      <c r="D12" s="1" t="s">
        <v>91</v>
      </c>
      <c r="E12" s="1" t="s">
        <v>92</v>
      </c>
      <c r="F12" s="1" t="s">
        <v>37</v>
      </c>
      <c r="G12" s="2">
        <v>80</v>
      </c>
      <c r="H12" t="s">
        <v>25</v>
      </c>
      <c r="I12" t="s">
        <v>26</v>
      </c>
      <c r="J12" t="s">
        <v>64</v>
      </c>
      <c r="K12" t="s">
        <v>93</v>
      </c>
      <c r="M12" t="s">
        <v>92</v>
      </c>
      <c r="N12" t="s">
        <v>41</v>
      </c>
      <c r="O12" t="s">
        <v>29</v>
      </c>
      <c r="P12" t="s">
        <v>94</v>
      </c>
      <c r="Q12" s="8" t="s">
        <v>95</v>
      </c>
      <c r="R12" t="s">
        <v>96</v>
      </c>
      <c r="S12" t="s">
        <v>32</v>
      </c>
      <c r="T12" t="s">
        <v>33</v>
      </c>
      <c r="U12" t="b">
        <f>FALSE()</f>
        <v>0</v>
      </c>
    </row>
    <row r="13" spans="1:21" ht="30" customHeight="1" x14ac:dyDescent="0.25">
      <c r="A13" s="6" t="s">
        <v>97</v>
      </c>
      <c r="B13" s="7">
        <v>46317</v>
      </c>
      <c r="C13" s="1" t="str">
        <f t="shared" si="0"/>
        <v>Thursday</v>
      </c>
      <c r="D13" s="1" t="s">
        <v>98</v>
      </c>
      <c r="E13" s="1" t="s">
        <v>99</v>
      </c>
      <c r="F13" s="1" t="s">
        <v>37</v>
      </c>
      <c r="G13" s="2">
        <v>80</v>
      </c>
      <c r="H13" t="s">
        <v>25</v>
      </c>
      <c r="I13" t="s">
        <v>26</v>
      </c>
      <c r="J13" t="s">
        <v>38</v>
      </c>
      <c r="K13" t="s">
        <v>79</v>
      </c>
      <c r="L13" t="s">
        <v>100</v>
      </c>
      <c r="M13" t="s">
        <v>99</v>
      </c>
      <c r="N13" t="s">
        <v>41</v>
      </c>
      <c r="O13" t="s">
        <v>29</v>
      </c>
      <c r="P13" t="s">
        <v>101</v>
      </c>
      <c r="Q13" s="8" t="s">
        <v>102</v>
      </c>
      <c r="R13" t="s">
        <v>103</v>
      </c>
      <c r="S13" t="s">
        <v>32</v>
      </c>
      <c r="T13" t="s">
        <v>33</v>
      </c>
      <c r="U13" t="b">
        <f>FALSE()</f>
        <v>0</v>
      </c>
    </row>
    <row r="14" spans="1:21" ht="30" customHeight="1" x14ac:dyDescent="0.25">
      <c r="A14" s="6" t="s">
        <v>104</v>
      </c>
      <c r="B14" s="7">
        <v>46317</v>
      </c>
      <c r="C14" s="1" t="str">
        <f t="shared" si="0"/>
        <v>Thursday</v>
      </c>
      <c r="D14" s="1" t="s">
        <v>105</v>
      </c>
      <c r="E14" s="1" t="s">
        <v>106</v>
      </c>
      <c r="F14" s="1" t="s">
        <v>37</v>
      </c>
      <c r="G14" s="2">
        <v>500</v>
      </c>
      <c r="H14" t="s">
        <v>25</v>
      </c>
      <c r="I14" t="s">
        <v>26</v>
      </c>
      <c r="J14" t="s">
        <v>64</v>
      </c>
      <c r="K14" t="s">
        <v>79</v>
      </c>
      <c r="M14" t="s">
        <v>106</v>
      </c>
      <c r="N14" t="s">
        <v>41</v>
      </c>
      <c r="O14" t="s">
        <v>29</v>
      </c>
      <c r="P14" t="s">
        <v>107</v>
      </c>
      <c r="Q14" s="8" t="s">
        <v>108</v>
      </c>
      <c r="R14" t="s">
        <v>109</v>
      </c>
      <c r="S14" t="s">
        <v>32</v>
      </c>
      <c r="T14" t="s">
        <v>33</v>
      </c>
      <c r="U14" t="b">
        <f>FALSE()</f>
        <v>0</v>
      </c>
    </row>
    <row r="15" spans="1:21" ht="30" customHeight="1" x14ac:dyDescent="0.25">
      <c r="A15" s="6" t="s">
        <v>110</v>
      </c>
      <c r="B15" s="7">
        <v>46318</v>
      </c>
      <c r="C15" s="1" t="str">
        <f t="shared" si="0"/>
        <v>Friday</v>
      </c>
      <c r="D15" s="1" t="s">
        <v>111</v>
      </c>
      <c r="E15" s="1" t="s">
        <v>46</v>
      </c>
      <c r="F15" s="1" t="s">
        <v>37</v>
      </c>
      <c r="G15" s="2">
        <v>80</v>
      </c>
      <c r="H15" t="s">
        <v>25</v>
      </c>
      <c r="I15" t="s">
        <v>26</v>
      </c>
      <c r="J15" t="s">
        <v>64</v>
      </c>
      <c r="K15" t="s">
        <v>28</v>
      </c>
      <c r="M15" t="s">
        <v>86</v>
      </c>
      <c r="N15" t="s">
        <v>41</v>
      </c>
      <c r="O15" t="s">
        <v>29</v>
      </c>
      <c r="P15" t="s">
        <v>112</v>
      </c>
      <c r="Q15" s="8" t="s">
        <v>113</v>
      </c>
      <c r="R15" t="s">
        <v>114</v>
      </c>
      <c r="S15" t="s">
        <v>32</v>
      </c>
      <c r="T15" t="s">
        <v>33</v>
      </c>
      <c r="U15" t="b">
        <f>FALSE()</f>
        <v>0</v>
      </c>
    </row>
    <row r="16" spans="1:21" ht="30" customHeight="1" x14ac:dyDescent="0.25">
      <c r="A16" s="6" t="s">
        <v>115</v>
      </c>
      <c r="B16" s="7">
        <v>46330</v>
      </c>
      <c r="C16" s="1" t="str">
        <f t="shared" si="0"/>
        <v>Wednesday</v>
      </c>
      <c r="D16" s="1" t="s">
        <v>91</v>
      </c>
      <c r="E16" s="1" t="s">
        <v>99</v>
      </c>
      <c r="F16" s="1" t="s">
        <v>37</v>
      </c>
      <c r="G16" s="2">
        <v>80</v>
      </c>
      <c r="H16" t="s">
        <v>25</v>
      </c>
      <c r="I16" t="s">
        <v>26</v>
      </c>
      <c r="J16" t="s">
        <v>64</v>
      </c>
      <c r="K16" t="s">
        <v>79</v>
      </c>
      <c r="M16" t="s">
        <v>99</v>
      </c>
      <c r="N16" t="s">
        <v>29</v>
      </c>
      <c r="O16" t="s">
        <v>29</v>
      </c>
      <c r="Q16" s="8" t="s">
        <v>116</v>
      </c>
      <c r="R16" t="s">
        <v>117</v>
      </c>
      <c r="S16" t="s">
        <v>32</v>
      </c>
      <c r="T16" t="s">
        <v>33</v>
      </c>
      <c r="U16" t="b">
        <f>FALSE()</f>
        <v>0</v>
      </c>
    </row>
    <row r="17" spans="1:21" ht="30" customHeight="1" x14ac:dyDescent="0.25">
      <c r="A17" s="6" t="s">
        <v>118</v>
      </c>
      <c r="B17" s="7">
        <v>46331</v>
      </c>
      <c r="C17" s="1" t="str">
        <f t="shared" si="0"/>
        <v>Thursday</v>
      </c>
      <c r="D17" s="1" t="s">
        <v>91</v>
      </c>
      <c r="E17" s="1" t="s">
        <v>36</v>
      </c>
      <c r="F17" s="1" t="s">
        <v>37</v>
      </c>
      <c r="G17" s="2">
        <v>80</v>
      </c>
      <c r="H17" t="s">
        <v>25</v>
      </c>
      <c r="I17" t="s">
        <v>26</v>
      </c>
      <c r="J17" t="s">
        <v>64</v>
      </c>
      <c r="K17" t="s">
        <v>39</v>
      </c>
      <c r="M17" t="s">
        <v>36</v>
      </c>
      <c r="N17" t="s">
        <v>41</v>
      </c>
      <c r="O17" t="s">
        <v>29</v>
      </c>
      <c r="Q17" s="8" t="s">
        <v>119</v>
      </c>
      <c r="R17" t="s">
        <v>120</v>
      </c>
      <c r="S17" t="s">
        <v>32</v>
      </c>
      <c r="T17" t="s">
        <v>33</v>
      </c>
      <c r="U17" t="b">
        <f>FALSE()</f>
        <v>0</v>
      </c>
    </row>
    <row r="18" spans="1:21" ht="30" customHeight="1" x14ac:dyDescent="0.25">
      <c r="A18" s="6" t="s">
        <v>121</v>
      </c>
      <c r="B18" s="7">
        <v>46332</v>
      </c>
      <c r="C18" s="1" t="str">
        <f t="shared" si="0"/>
        <v>Friday</v>
      </c>
      <c r="D18" s="1" t="s">
        <v>122</v>
      </c>
      <c r="E18" s="1" t="s">
        <v>92</v>
      </c>
      <c r="F18" s="1" t="s">
        <v>123</v>
      </c>
      <c r="G18" s="2">
        <v>12</v>
      </c>
      <c r="H18" t="s">
        <v>25</v>
      </c>
      <c r="I18" t="s">
        <v>26</v>
      </c>
      <c r="J18" t="s">
        <v>27</v>
      </c>
      <c r="K18" t="s">
        <v>93</v>
      </c>
      <c r="M18" t="s">
        <v>92</v>
      </c>
      <c r="N18" t="s">
        <v>41</v>
      </c>
      <c r="O18" t="s">
        <v>29</v>
      </c>
      <c r="P18" t="s">
        <v>124</v>
      </c>
      <c r="Q18" s="8" t="s">
        <v>125</v>
      </c>
      <c r="R18" t="s">
        <v>126</v>
      </c>
      <c r="S18" t="s">
        <v>32</v>
      </c>
      <c r="T18" t="s">
        <v>33</v>
      </c>
      <c r="U18" t="b">
        <f>FALSE()</f>
        <v>0</v>
      </c>
    </row>
    <row r="19" spans="1:21" ht="30" customHeight="1" x14ac:dyDescent="0.25">
      <c r="A19" s="6" t="s">
        <v>127</v>
      </c>
      <c r="B19" s="7">
        <v>46335</v>
      </c>
      <c r="C19" s="1" t="str">
        <f t="shared" si="0"/>
        <v>Monday</v>
      </c>
      <c r="D19" s="1" t="s">
        <v>35</v>
      </c>
      <c r="E19" s="1" t="s">
        <v>128</v>
      </c>
      <c r="F19" s="1" t="s">
        <v>37</v>
      </c>
      <c r="G19" s="2">
        <v>80</v>
      </c>
      <c r="H19" t="s">
        <v>25</v>
      </c>
      <c r="I19" t="s">
        <v>26</v>
      </c>
      <c r="J19" t="s">
        <v>38</v>
      </c>
      <c r="K19" t="s">
        <v>79</v>
      </c>
      <c r="L19" t="s">
        <v>129</v>
      </c>
      <c r="M19" t="s">
        <v>128</v>
      </c>
      <c r="N19" t="s">
        <v>41</v>
      </c>
      <c r="O19" t="s">
        <v>29</v>
      </c>
      <c r="Q19" s="8" t="s">
        <v>130</v>
      </c>
      <c r="R19" t="s">
        <v>131</v>
      </c>
      <c r="S19" t="s">
        <v>32</v>
      </c>
      <c r="T19" t="s">
        <v>33</v>
      </c>
      <c r="U19" t="b">
        <f>FALSE()</f>
        <v>0</v>
      </c>
    </row>
    <row r="20" spans="1:21" ht="30" customHeight="1" x14ac:dyDescent="0.25">
      <c r="A20" s="9" t="s">
        <v>132</v>
      </c>
      <c r="B20" s="7">
        <v>46336</v>
      </c>
      <c r="C20" s="1" t="str">
        <f t="shared" si="0"/>
        <v>Tuesday</v>
      </c>
      <c r="D20" s="1" t="s">
        <v>84</v>
      </c>
      <c r="E20" s="1" t="s">
        <v>46</v>
      </c>
      <c r="F20" s="1" t="s">
        <v>85</v>
      </c>
      <c r="G20" s="2">
        <v>16</v>
      </c>
      <c r="H20" t="s">
        <v>25</v>
      </c>
      <c r="I20" t="s">
        <v>26</v>
      </c>
      <c r="J20" t="s">
        <v>27</v>
      </c>
      <c r="K20" t="s">
        <v>28</v>
      </c>
      <c r="M20" t="s">
        <v>86</v>
      </c>
      <c r="N20" t="s">
        <v>29</v>
      </c>
      <c r="O20" t="s">
        <v>41</v>
      </c>
      <c r="P20" t="s">
        <v>87</v>
      </c>
      <c r="Q20" s="8" t="s">
        <v>88</v>
      </c>
      <c r="R20" t="s">
        <v>89</v>
      </c>
      <c r="S20" t="s">
        <v>32</v>
      </c>
      <c r="T20" t="s">
        <v>33</v>
      </c>
      <c r="U20" t="b">
        <f>FALSE()</f>
        <v>0</v>
      </c>
    </row>
    <row r="21" spans="1:21" ht="30" customHeight="1" x14ac:dyDescent="0.25">
      <c r="A21" s="6" t="s">
        <v>133</v>
      </c>
      <c r="B21" s="7">
        <v>46337</v>
      </c>
      <c r="C21" s="1" t="str">
        <f t="shared" si="0"/>
        <v>Wednesday</v>
      </c>
      <c r="D21" s="1" t="s">
        <v>134</v>
      </c>
      <c r="E21" s="1" t="s">
        <v>46</v>
      </c>
      <c r="F21" s="1" t="s">
        <v>135</v>
      </c>
      <c r="G21" s="2">
        <v>16</v>
      </c>
      <c r="H21" t="s">
        <v>25</v>
      </c>
      <c r="I21" t="s">
        <v>26</v>
      </c>
      <c r="J21" t="s">
        <v>27</v>
      </c>
      <c r="K21" t="s">
        <v>28</v>
      </c>
      <c r="M21" t="s">
        <v>86</v>
      </c>
      <c r="N21" t="s">
        <v>41</v>
      </c>
      <c r="O21" t="s">
        <v>29</v>
      </c>
      <c r="P21" t="s">
        <v>136</v>
      </c>
      <c r="Q21" s="8" t="s">
        <v>137</v>
      </c>
      <c r="R21" t="s">
        <v>138</v>
      </c>
      <c r="S21" t="s">
        <v>32</v>
      </c>
      <c r="T21" t="s">
        <v>33</v>
      </c>
      <c r="U21" t="b">
        <f>FALSE()</f>
        <v>0</v>
      </c>
    </row>
    <row r="22" spans="1:21" ht="30" customHeight="1" x14ac:dyDescent="0.25">
      <c r="A22" s="6" t="s">
        <v>139</v>
      </c>
      <c r="B22" s="7">
        <v>46338</v>
      </c>
      <c r="C22" s="1" t="str">
        <f t="shared" si="0"/>
        <v>Thursday</v>
      </c>
      <c r="D22" s="1" t="s">
        <v>140</v>
      </c>
      <c r="E22" s="1" t="s">
        <v>141</v>
      </c>
      <c r="G22" s="2">
        <v>70</v>
      </c>
      <c r="H22" t="s">
        <v>25</v>
      </c>
      <c r="I22" t="s">
        <v>26</v>
      </c>
      <c r="J22" t="s">
        <v>38</v>
      </c>
      <c r="K22" t="s">
        <v>28</v>
      </c>
      <c r="L22" t="s">
        <v>142</v>
      </c>
      <c r="N22" t="s">
        <v>41</v>
      </c>
      <c r="O22" t="s">
        <v>29</v>
      </c>
      <c r="Q22" s="8" t="s">
        <v>143</v>
      </c>
      <c r="R22" t="s">
        <v>144</v>
      </c>
      <c r="S22" t="s">
        <v>141</v>
      </c>
      <c r="T22" t="s">
        <v>33</v>
      </c>
      <c r="U22" t="b">
        <f>FALSE()</f>
        <v>0</v>
      </c>
    </row>
    <row r="23" spans="1:21" ht="30" customHeight="1" x14ac:dyDescent="0.25">
      <c r="A23" s="9" t="s">
        <v>145</v>
      </c>
      <c r="B23" s="7">
        <v>46344</v>
      </c>
      <c r="C23" s="1" t="str">
        <f t="shared" si="0"/>
        <v>Wednesday</v>
      </c>
      <c r="D23" s="1" t="s">
        <v>91</v>
      </c>
      <c r="E23" s="1" t="s">
        <v>99</v>
      </c>
      <c r="F23" s="1" t="s">
        <v>37</v>
      </c>
      <c r="G23" s="2">
        <v>80</v>
      </c>
      <c r="H23" t="s">
        <v>25</v>
      </c>
      <c r="I23" t="s">
        <v>26</v>
      </c>
      <c r="J23" t="s">
        <v>64</v>
      </c>
      <c r="K23" t="s">
        <v>79</v>
      </c>
      <c r="M23" t="s">
        <v>99</v>
      </c>
      <c r="N23" t="s">
        <v>29</v>
      </c>
      <c r="O23" t="s">
        <v>41</v>
      </c>
      <c r="Q23" s="8" t="s">
        <v>116</v>
      </c>
      <c r="S23" t="s">
        <v>32</v>
      </c>
      <c r="T23" t="s">
        <v>33</v>
      </c>
      <c r="U23" t="b">
        <f>FALSE()</f>
        <v>0</v>
      </c>
    </row>
    <row r="24" spans="1:21" ht="27.75" customHeight="1" x14ac:dyDescent="0.25">
      <c r="A24" s="6" t="s">
        <v>146</v>
      </c>
      <c r="B24" s="7">
        <v>46345</v>
      </c>
      <c r="C24" s="1" t="str">
        <f t="shared" si="0"/>
        <v>Thursday</v>
      </c>
      <c r="D24" s="1" t="s">
        <v>35</v>
      </c>
      <c r="E24" s="1" t="s">
        <v>36</v>
      </c>
      <c r="F24" s="1" t="s">
        <v>37</v>
      </c>
      <c r="G24" s="2">
        <v>80</v>
      </c>
      <c r="H24" t="s">
        <v>25</v>
      </c>
      <c r="I24" t="s">
        <v>26</v>
      </c>
      <c r="J24" t="s">
        <v>38</v>
      </c>
      <c r="K24" t="s">
        <v>39</v>
      </c>
      <c r="L24" t="s">
        <v>40</v>
      </c>
      <c r="M24" t="s">
        <v>36</v>
      </c>
      <c r="N24" t="s">
        <v>41</v>
      </c>
      <c r="O24" t="s">
        <v>29</v>
      </c>
      <c r="P24" t="s">
        <v>147</v>
      </c>
      <c r="Q24" s="8" t="s">
        <v>148</v>
      </c>
      <c r="R24" t="s">
        <v>149</v>
      </c>
      <c r="S24" t="s">
        <v>32</v>
      </c>
      <c r="T24" t="s">
        <v>33</v>
      </c>
      <c r="U24" t="b">
        <f>FALSE()</f>
        <v>0</v>
      </c>
    </row>
    <row r="25" spans="1:21" ht="15" customHeight="1" x14ac:dyDescent="0.25">
      <c r="A25" s="6" t="s">
        <v>150</v>
      </c>
      <c r="B25" s="7">
        <v>46351</v>
      </c>
      <c r="C25" s="1" t="str">
        <f t="shared" si="0"/>
        <v>Wednesday</v>
      </c>
      <c r="D25" s="1" t="s">
        <v>91</v>
      </c>
      <c r="E25" s="1" t="s">
        <v>128</v>
      </c>
      <c r="F25" s="1" t="s">
        <v>37</v>
      </c>
      <c r="G25" s="2">
        <v>80</v>
      </c>
      <c r="H25" t="s">
        <v>25</v>
      </c>
      <c r="I25" t="s">
        <v>26</v>
      </c>
      <c r="J25" t="s">
        <v>64</v>
      </c>
      <c r="K25" t="s">
        <v>79</v>
      </c>
      <c r="M25" t="s">
        <v>128</v>
      </c>
      <c r="N25" t="s">
        <v>41</v>
      </c>
      <c r="O25" t="s">
        <v>29</v>
      </c>
      <c r="P25" t="s">
        <v>151</v>
      </c>
      <c r="Q25" s="8" t="s">
        <v>152</v>
      </c>
      <c r="R25" t="s">
        <v>153</v>
      </c>
      <c r="S25" t="s">
        <v>32</v>
      </c>
      <c r="T25" t="s">
        <v>33</v>
      </c>
      <c r="U25" t="b">
        <f>FALSE()</f>
        <v>0</v>
      </c>
    </row>
    <row r="26" spans="1:21" ht="30" customHeight="1" x14ac:dyDescent="0.25">
      <c r="A26" s="6" t="s">
        <v>154</v>
      </c>
      <c r="B26" s="7">
        <v>46352</v>
      </c>
      <c r="C26" s="1" t="str">
        <f t="shared" si="0"/>
        <v>Thursday</v>
      </c>
      <c r="D26" s="1" t="s">
        <v>91</v>
      </c>
      <c r="E26" s="1" t="s">
        <v>36</v>
      </c>
      <c r="F26" s="1" t="s">
        <v>37</v>
      </c>
      <c r="G26" s="2">
        <v>80</v>
      </c>
      <c r="H26" t="s">
        <v>25</v>
      </c>
      <c r="I26" t="s">
        <v>26</v>
      </c>
      <c r="J26" t="s">
        <v>64</v>
      </c>
      <c r="K26" t="s">
        <v>155</v>
      </c>
      <c r="M26" t="s">
        <v>36</v>
      </c>
      <c r="N26" t="s">
        <v>41</v>
      </c>
      <c r="O26" t="s">
        <v>29</v>
      </c>
      <c r="Q26" s="8" t="s">
        <v>156</v>
      </c>
      <c r="R26" t="s">
        <v>157</v>
      </c>
      <c r="S26" t="s">
        <v>32</v>
      </c>
      <c r="T26" t="s">
        <v>33</v>
      </c>
      <c r="U26" t="b">
        <f>FALSE()</f>
        <v>0</v>
      </c>
    </row>
    <row r="27" spans="1:21" ht="30" customHeight="1" x14ac:dyDescent="0.25">
      <c r="A27" s="6" t="s">
        <v>158</v>
      </c>
      <c r="B27" s="7">
        <v>46352</v>
      </c>
      <c r="C27" s="1" t="str">
        <f t="shared" si="0"/>
        <v>Thursday</v>
      </c>
      <c r="D27" s="1" t="s">
        <v>51</v>
      </c>
      <c r="E27" s="1" t="s">
        <v>52</v>
      </c>
      <c r="F27" s="1" t="s">
        <v>37</v>
      </c>
      <c r="G27" s="2">
        <v>80</v>
      </c>
      <c r="H27" t="s">
        <v>25</v>
      </c>
      <c r="I27" t="s">
        <v>26</v>
      </c>
      <c r="J27" t="s">
        <v>38</v>
      </c>
      <c r="K27" t="s">
        <v>53</v>
      </c>
      <c r="L27" t="s">
        <v>54</v>
      </c>
      <c r="M27" t="s">
        <v>52</v>
      </c>
      <c r="N27" t="s">
        <v>41</v>
      </c>
      <c r="O27" t="s">
        <v>29</v>
      </c>
      <c r="P27" t="s">
        <v>55</v>
      </c>
      <c r="Q27" s="8" t="s">
        <v>159</v>
      </c>
      <c r="R27" t="s">
        <v>160</v>
      </c>
      <c r="S27" t="s">
        <v>32</v>
      </c>
      <c r="T27" t="s">
        <v>33</v>
      </c>
      <c r="U27" t="b">
        <f>FALSE()</f>
        <v>0</v>
      </c>
    </row>
  </sheetData>
  <dataValidations count="2">
    <dataValidation type="list" allowBlank="1" sqref="S2:S27" xr:uid="{00000000-0002-0000-0000-000000000000}">
      <formula1>"Regional,Local"</formula1>
      <formula2>0</formula2>
    </dataValidation>
    <dataValidation type="list" allowBlank="1" sqref="T2:T27" xr:uid="{00000000-0002-0000-0000-000001000000}">
      <formula1>"Website,External"</formula1>
      <formula2>0</formula2>
    </dataValidation>
  </dataValidations>
  <hyperlinks>
    <hyperlink ref="Q2" r:id="rId1" xr:uid="{00000000-0004-0000-0000-000000000000}"/>
    <hyperlink ref="Q3" r:id="rId2" xr:uid="{00000000-0004-0000-0000-000001000000}"/>
    <hyperlink ref="Q4" r:id="rId3" xr:uid="{00000000-0004-0000-0000-000002000000}"/>
    <hyperlink ref="Q6" r:id="rId4" xr:uid="{00000000-0004-0000-0000-000003000000}"/>
    <hyperlink ref="Q8" r:id="rId5" xr:uid="{00000000-0004-0000-0000-000004000000}"/>
    <hyperlink ref="Q9" r:id="rId6" xr:uid="{00000000-0004-0000-0000-000005000000}"/>
    <hyperlink ref="Q12" r:id="rId7" xr:uid="{00000000-0004-0000-0000-000006000000}"/>
    <hyperlink ref="Q16" r:id="rId8" xr:uid="{00000000-0004-0000-0000-000007000000}"/>
    <hyperlink ref="Q18" r:id="rId9" xr:uid="{00000000-0004-0000-0000-000008000000}"/>
    <hyperlink ref="Q20" r:id="rId10" xr:uid="{00000000-0004-0000-0000-000009000000}"/>
    <hyperlink ref="Q22" r:id="rId11" xr:uid="{00000000-0004-0000-0000-00000A000000}"/>
    <hyperlink ref="Q23" r:id="rId12" xr:uid="{00000000-0004-0000-0000-00000B000000}"/>
    <hyperlink ref="Q25" r:id="rId13" xr:uid="{00000000-0004-0000-0000-00000C000000}"/>
  </hyperlinks>
  <pageMargins left="0.7" right="0.7" top="0.75" bottom="0.75" header="0.511811023622047" footer="0.511811023622047"/>
  <pageSetup paperSize="9" orientation="portrait" horizontalDpi="300" verticalDpi="300"/>
  <tableParts count="1">
    <tablePart r:id="rId1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6"/>
  <sheetViews>
    <sheetView zoomScaleNormal="100" workbookViewId="0">
      <pane ySplit="1" topLeftCell="A2" activePane="bottomLeft" state="frozen"/>
      <selection pane="bottomLeft" activeCell="N26" sqref="N26"/>
    </sheetView>
  </sheetViews>
  <sheetFormatPr defaultColWidth="8.5703125" defaultRowHeight="15" x14ac:dyDescent="0.25"/>
  <cols>
    <col min="1" max="1" width="96.71093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161</v>
      </c>
      <c r="B2" s="7">
        <v>46357</v>
      </c>
      <c r="C2" s="1" t="str">
        <f t="shared" ref="C2:C36" si="0">IF(B2="","",TEXT(B2,"dddd"))</f>
        <v>Tuesday</v>
      </c>
      <c r="D2" s="1" t="s">
        <v>69</v>
      </c>
      <c r="E2" s="1" t="s">
        <v>23</v>
      </c>
      <c r="F2" s="1" t="s">
        <v>37</v>
      </c>
      <c r="G2" s="2">
        <v>100</v>
      </c>
      <c r="H2" t="s">
        <v>162</v>
      </c>
      <c r="I2" t="s">
        <v>163</v>
      </c>
      <c r="J2" t="s">
        <v>164</v>
      </c>
      <c r="K2" t="s">
        <v>165</v>
      </c>
      <c r="L2" t="s">
        <v>166</v>
      </c>
      <c r="M2" t="s">
        <v>23</v>
      </c>
      <c r="N2" t="s">
        <v>41</v>
      </c>
      <c r="O2" t="s">
        <v>29</v>
      </c>
      <c r="Q2" s="8" t="s">
        <v>167</v>
      </c>
      <c r="R2" t="s">
        <v>168</v>
      </c>
      <c r="S2" t="s">
        <v>32</v>
      </c>
      <c r="T2" t="s">
        <v>33</v>
      </c>
      <c r="U2" t="b">
        <f>FALSE()</f>
        <v>0</v>
      </c>
    </row>
    <row r="3" spans="1:21" ht="15" customHeight="1" x14ac:dyDescent="0.25">
      <c r="A3" s="9" t="s">
        <v>169</v>
      </c>
      <c r="B3" s="7">
        <v>46357</v>
      </c>
      <c r="C3" s="1" t="str">
        <f t="shared" si="0"/>
        <v>Tuesday</v>
      </c>
      <c r="D3" s="1" t="s">
        <v>84</v>
      </c>
      <c r="E3" s="1" t="s">
        <v>46</v>
      </c>
      <c r="F3" s="1" t="s">
        <v>85</v>
      </c>
      <c r="G3" s="2">
        <v>16</v>
      </c>
      <c r="H3" t="s">
        <v>162</v>
      </c>
      <c r="I3" t="s">
        <v>163</v>
      </c>
      <c r="J3" t="s">
        <v>170</v>
      </c>
      <c r="K3" t="s">
        <v>165</v>
      </c>
      <c r="M3" t="s">
        <v>86</v>
      </c>
      <c r="N3" t="s">
        <v>29</v>
      </c>
      <c r="O3" t="s">
        <v>41</v>
      </c>
      <c r="P3" t="s">
        <v>87</v>
      </c>
      <c r="Q3" s="8" t="s">
        <v>88</v>
      </c>
      <c r="R3" t="s">
        <v>89</v>
      </c>
      <c r="S3" t="s">
        <v>32</v>
      </c>
      <c r="T3" t="s">
        <v>33</v>
      </c>
      <c r="U3" t="b">
        <f>FALSE()</f>
        <v>0</v>
      </c>
    </row>
    <row r="4" spans="1:21" ht="15" customHeight="1" x14ac:dyDescent="0.25">
      <c r="A4" s="6" t="s">
        <v>171</v>
      </c>
      <c r="B4" s="7">
        <v>46358</v>
      </c>
      <c r="C4" s="1" t="str">
        <f t="shared" si="0"/>
        <v>Wednesday</v>
      </c>
      <c r="D4" s="1" t="s">
        <v>45</v>
      </c>
      <c r="E4" s="1" t="s">
        <v>46</v>
      </c>
      <c r="F4" s="1" t="s">
        <v>37</v>
      </c>
      <c r="G4" s="2">
        <v>80</v>
      </c>
      <c r="H4" t="s">
        <v>162</v>
      </c>
      <c r="I4" t="s">
        <v>163</v>
      </c>
      <c r="J4" t="s">
        <v>164</v>
      </c>
      <c r="K4" t="s">
        <v>165</v>
      </c>
      <c r="L4" t="s">
        <v>172</v>
      </c>
      <c r="M4" t="s">
        <v>46</v>
      </c>
      <c r="N4" t="s">
        <v>41</v>
      </c>
      <c r="O4" t="s">
        <v>29</v>
      </c>
      <c r="Q4" s="8" t="s">
        <v>173</v>
      </c>
      <c r="R4" t="s">
        <v>49</v>
      </c>
      <c r="S4" t="s">
        <v>32</v>
      </c>
      <c r="T4" t="s">
        <v>33</v>
      </c>
      <c r="U4" t="b">
        <f>FALSE()</f>
        <v>0</v>
      </c>
    </row>
    <row r="5" spans="1:21" ht="30" customHeight="1" x14ac:dyDescent="0.25">
      <c r="A5" s="9" t="s">
        <v>174</v>
      </c>
      <c r="B5" s="7">
        <v>46358</v>
      </c>
      <c r="C5" s="1" t="str">
        <f t="shared" si="0"/>
        <v>Wednesday</v>
      </c>
      <c r="D5" s="1" t="s">
        <v>91</v>
      </c>
      <c r="E5" s="1" t="s">
        <v>99</v>
      </c>
      <c r="F5" s="1" t="s">
        <v>37</v>
      </c>
      <c r="G5" s="2">
        <v>80</v>
      </c>
      <c r="H5" t="s">
        <v>162</v>
      </c>
      <c r="I5" t="s">
        <v>163</v>
      </c>
      <c r="J5" t="s">
        <v>175</v>
      </c>
      <c r="K5" t="s">
        <v>176</v>
      </c>
      <c r="M5" t="s">
        <v>99</v>
      </c>
      <c r="N5" t="s">
        <v>29</v>
      </c>
      <c r="O5" t="s">
        <v>41</v>
      </c>
      <c r="Q5" s="8" t="s">
        <v>116</v>
      </c>
      <c r="S5" t="s">
        <v>32</v>
      </c>
      <c r="T5" t="s">
        <v>33</v>
      </c>
      <c r="U5" t="b">
        <f>FALSE()</f>
        <v>0</v>
      </c>
    </row>
    <row r="6" spans="1:21" ht="30" customHeight="1" x14ac:dyDescent="0.25">
      <c r="A6" s="11" t="s">
        <v>177</v>
      </c>
      <c r="B6" s="7">
        <v>46358</v>
      </c>
      <c r="C6" s="1" t="str">
        <f t="shared" si="0"/>
        <v>Wednesday</v>
      </c>
      <c r="D6" s="1" t="s">
        <v>178</v>
      </c>
      <c r="E6" s="1" t="s">
        <v>128</v>
      </c>
      <c r="F6" s="1" t="s">
        <v>179</v>
      </c>
      <c r="G6" s="2">
        <v>12</v>
      </c>
      <c r="H6" t="s">
        <v>162</v>
      </c>
      <c r="I6" t="s">
        <v>163</v>
      </c>
      <c r="J6" t="s">
        <v>170</v>
      </c>
      <c r="K6" t="s">
        <v>176</v>
      </c>
      <c r="M6" t="s">
        <v>128</v>
      </c>
      <c r="N6" t="s">
        <v>41</v>
      </c>
      <c r="O6" t="s">
        <v>29</v>
      </c>
      <c r="Q6" s="8" t="s">
        <v>180</v>
      </c>
      <c r="R6" t="s">
        <v>181</v>
      </c>
      <c r="S6" t="s">
        <v>32</v>
      </c>
      <c r="T6" t="s">
        <v>33</v>
      </c>
      <c r="U6" t="b">
        <f>FALSE()</f>
        <v>0</v>
      </c>
    </row>
    <row r="7" spans="1:21" ht="30" customHeight="1" x14ac:dyDescent="0.25">
      <c r="A7" s="11" t="s">
        <v>182</v>
      </c>
      <c r="B7" s="7">
        <v>46360</v>
      </c>
      <c r="C7" s="1" t="str">
        <f t="shared" si="0"/>
        <v>Friday</v>
      </c>
      <c r="D7" s="1" t="s">
        <v>183</v>
      </c>
      <c r="E7" s="1" t="s">
        <v>106</v>
      </c>
      <c r="F7" s="1" t="s">
        <v>37</v>
      </c>
      <c r="G7" s="2">
        <v>80</v>
      </c>
      <c r="H7" t="s">
        <v>162</v>
      </c>
      <c r="I7" t="s">
        <v>163</v>
      </c>
      <c r="J7" t="s">
        <v>164</v>
      </c>
      <c r="K7" t="s">
        <v>176</v>
      </c>
      <c r="L7" t="s">
        <v>184</v>
      </c>
      <c r="M7" t="s">
        <v>75</v>
      </c>
      <c r="N7" t="s">
        <v>41</v>
      </c>
      <c r="O7" t="s">
        <v>29</v>
      </c>
      <c r="P7" t="s">
        <v>101</v>
      </c>
      <c r="Q7" s="8" t="s">
        <v>185</v>
      </c>
      <c r="R7" t="s">
        <v>186</v>
      </c>
      <c r="S7" t="s">
        <v>32</v>
      </c>
      <c r="T7" t="s">
        <v>33</v>
      </c>
      <c r="U7" t="b">
        <f>FALSE()</f>
        <v>0</v>
      </c>
    </row>
    <row r="8" spans="1:21" ht="30" customHeight="1" x14ac:dyDescent="0.25">
      <c r="A8" s="11" t="s">
        <v>187</v>
      </c>
      <c r="B8" s="7">
        <v>46363</v>
      </c>
      <c r="C8" s="1" t="str">
        <f t="shared" si="0"/>
        <v>Monday</v>
      </c>
      <c r="D8" s="1" t="s">
        <v>51</v>
      </c>
      <c r="E8" s="1" t="s">
        <v>36</v>
      </c>
      <c r="F8" s="1" t="s">
        <v>37</v>
      </c>
      <c r="G8" s="2">
        <v>80</v>
      </c>
      <c r="H8" t="s">
        <v>162</v>
      </c>
      <c r="I8" t="s">
        <v>163</v>
      </c>
      <c r="J8" t="s">
        <v>164</v>
      </c>
      <c r="K8" t="s">
        <v>188</v>
      </c>
      <c r="L8" t="s">
        <v>189</v>
      </c>
      <c r="M8" t="s">
        <v>36</v>
      </c>
      <c r="N8" t="s">
        <v>41</v>
      </c>
      <c r="O8" t="s">
        <v>29</v>
      </c>
      <c r="Q8" s="8" t="s">
        <v>190</v>
      </c>
      <c r="R8" t="s">
        <v>191</v>
      </c>
      <c r="S8" t="s">
        <v>32</v>
      </c>
      <c r="T8" t="s">
        <v>33</v>
      </c>
      <c r="U8" t="b">
        <f>FALSE()</f>
        <v>0</v>
      </c>
    </row>
    <row r="9" spans="1:21" ht="30" customHeight="1" x14ac:dyDescent="0.25">
      <c r="A9" s="11" t="s">
        <v>192</v>
      </c>
      <c r="B9" s="7">
        <v>46364</v>
      </c>
      <c r="C9" s="1" t="str">
        <f t="shared" si="0"/>
        <v>Tuesday</v>
      </c>
      <c r="D9" s="1" t="s">
        <v>69</v>
      </c>
      <c r="E9" s="1" t="s">
        <v>193</v>
      </c>
      <c r="F9" s="1" t="s">
        <v>37</v>
      </c>
      <c r="G9" s="2">
        <v>80</v>
      </c>
      <c r="H9" t="s">
        <v>162</v>
      </c>
      <c r="I9" t="s">
        <v>163</v>
      </c>
      <c r="J9" t="s">
        <v>175</v>
      </c>
      <c r="K9" t="s">
        <v>194</v>
      </c>
      <c r="M9" t="s">
        <v>193</v>
      </c>
      <c r="N9" t="s">
        <v>41</v>
      </c>
      <c r="O9" t="s">
        <v>29</v>
      </c>
      <c r="P9" t="s">
        <v>195</v>
      </c>
      <c r="Q9" s="8" t="s">
        <v>196</v>
      </c>
      <c r="R9" t="s">
        <v>197</v>
      </c>
      <c r="S9" t="s">
        <v>32</v>
      </c>
      <c r="T9" t="s">
        <v>33</v>
      </c>
      <c r="U9" t="b">
        <f>FALSE()</f>
        <v>0</v>
      </c>
    </row>
    <row r="10" spans="1:21" ht="30" customHeight="1" x14ac:dyDescent="0.25">
      <c r="A10" s="11" t="s">
        <v>198</v>
      </c>
      <c r="B10" s="7">
        <v>46366</v>
      </c>
      <c r="C10" s="1" t="str">
        <f t="shared" si="0"/>
        <v>Thursday</v>
      </c>
      <c r="D10" s="1" t="s">
        <v>35</v>
      </c>
      <c r="E10" s="1" t="s">
        <v>92</v>
      </c>
      <c r="F10" s="1" t="s">
        <v>37</v>
      </c>
      <c r="G10" s="2">
        <v>80</v>
      </c>
      <c r="H10" t="s">
        <v>162</v>
      </c>
      <c r="I10" t="s">
        <v>163</v>
      </c>
      <c r="J10" t="s">
        <v>164</v>
      </c>
      <c r="K10" t="s">
        <v>199</v>
      </c>
      <c r="L10" t="s">
        <v>200</v>
      </c>
      <c r="M10" t="s">
        <v>92</v>
      </c>
      <c r="N10" t="s">
        <v>41</v>
      </c>
      <c r="O10" t="s">
        <v>29</v>
      </c>
      <c r="P10" t="s">
        <v>201</v>
      </c>
      <c r="Q10" s="8" t="s">
        <v>202</v>
      </c>
      <c r="R10" t="s">
        <v>203</v>
      </c>
      <c r="S10" t="s">
        <v>32</v>
      </c>
      <c r="T10" t="s">
        <v>33</v>
      </c>
      <c r="U10" t="b">
        <f>FALSE()</f>
        <v>0</v>
      </c>
    </row>
    <row r="11" spans="1:21" ht="30" customHeight="1" x14ac:dyDescent="0.25">
      <c r="A11" s="11" t="s">
        <v>204</v>
      </c>
      <c r="B11" s="7">
        <v>46394</v>
      </c>
      <c r="C11" s="1" t="str">
        <f t="shared" si="0"/>
        <v>Thursday</v>
      </c>
      <c r="D11" s="1" t="s">
        <v>91</v>
      </c>
      <c r="E11" s="1" t="s">
        <v>46</v>
      </c>
      <c r="F11" s="1" t="s">
        <v>37</v>
      </c>
      <c r="G11" s="2">
        <v>80</v>
      </c>
      <c r="H11" t="s">
        <v>162</v>
      </c>
      <c r="I11" t="s">
        <v>163</v>
      </c>
      <c r="J11" t="s">
        <v>175</v>
      </c>
      <c r="K11" t="s">
        <v>165</v>
      </c>
      <c r="M11" t="s">
        <v>86</v>
      </c>
      <c r="N11" t="s">
        <v>41</v>
      </c>
      <c r="O11" t="s">
        <v>29</v>
      </c>
      <c r="P11" t="s">
        <v>112</v>
      </c>
      <c r="Q11" s="8" t="s">
        <v>205</v>
      </c>
      <c r="R11" t="s">
        <v>206</v>
      </c>
      <c r="S11" t="s">
        <v>32</v>
      </c>
      <c r="T11" t="s">
        <v>33</v>
      </c>
      <c r="U11" t="b">
        <f>FALSE()</f>
        <v>0</v>
      </c>
    </row>
    <row r="12" spans="1:21" ht="30" customHeight="1" x14ac:dyDescent="0.25">
      <c r="A12" s="11" t="s">
        <v>207</v>
      </c>
      <c r="B12" s="7">
        <v>46398</v>
      </c>
      <c r="C12" s="1" t="str">
        <f t="shared" si="0"/>
        <v>Monday</v>
      </c>
      <c r="D12" s="1" t="s">
        <v>208</v>
      </c>
      <c r="E12" s="1" t="s">
        <v>128</v>
      </c>
      <c r="F12" s="1" t="s">
        <v>37</v>
      </c>
      <c r="G12" s="2">
        <v>80</v>
      </c>
      <c r="H12" t="s">
        <v>162</v>
      </c>
      <c r="I12" t="s">
        <v>163</v>
      </c>
      <c r="J12" t="s">
        <v>175</v>
      </c>
      <c r="K12" t="s">
        <v>176</v>
      </c>
      <c r="M12" t="s">
        <v>209</v>
      </c>
      <c r="N12" t="s">
        <v>41</v>
      </c>
      <c r="O12" t="s">
        <v>29</v>
      </c>
      <c r="P12" t="s">
        <v>210</v>
      </c>
      <c r="Q12" s="8" t="s">
        <v>211</v>
      </c>
      <c r="R12" t="s">
        <v>212</v>
      </c>
      <c r="S12" t="s">
        <v>32</v>
      </c>
      <c r="T12" t="s">
        <v>33</v>
      </c>
      <c r="U12" t="b">
        <f>FALSE()</f>
        <v>0</v>
      </c>
    </row>
    <row r="13" spans="1:21" ht="30" customHeight="1" x14ac:dyDescent="0.25">
      <c r="A13" s="11" t="s">
        <v>213</v>
      </c>
      <c r="B13" s="7">
        <v>46400</v>
      </c>
      <c r="C13" s="1" t="str">
        <f t="shared" si="0"/>
        <v>Wednesday</v>
      </c>
      <c r="D13" s="1" t="s">
        <v>214</v>
      </c>
      <c r="E13" s="1" t="s">
        <v>128</v>
      </c>
      <c r="F13" s="1" t="s">
        <v>37</v>
      </c>
      <c r="G13" s="2">
        <v>80</v>
      </c>
      <c r="H13" t="s">
        <v>162</v>
      </c>
      <c r="I13" t="s">
        <v>163</v>
      </c>
      <c r="J13" t="s">
        <v>175</v>
      </c>
      <c r="K13" t="s">
        <v>176</v>
      </c>
      <c r="M13" t="s">
        <v>128</v>
      </c>
      <c r="N13" t="s">
        <v>29</v>
      </c>
      <c r="O13" t="s">
        <v>29</v>
      </c>
      <c r="P13" t="s">
        <v>215</v>
      </c>
      <c r="Q13" s="8" t="s">
        <v>216</v>
      </c>
      <c r="R13" t="s">
        <v>217</v>
      </c>
      <c r="S13" t="s">
        <v>32</v>
      </c>
      <c r="T13" t="s">
        <v>33</v>
      </c>
      <c r="U13" t="b">
        <f>FALSE()</f>
        <v>0</v>
      </c>
    </row>
    <row r="14" spans="1:21" ht="30" customHeight="1" x14ac:dyDescent="0.25">
      <c r="A14" s="11" t="s">
        <v>218</v>
      </c>
      <c r="B14" s="7">
        <v>46402</v>
      </c>
      <c r="C14" s="1" t="str">
        <f t="shared" si="0"/>
        <v>Friday</v>
      </c>
      <c r="D14" s="1" t="s">
        <v>134</v>
      </c>
      <c r="E14" s="1" t="s">
        <v>92</v>
      </c>
      <c r="F14" s="1" t="s">
        <v>219</v>
      </c>
      <c r="G14" s="2">
        <v>20</v>
      </c>
      <c r="H14" t="s">
        <v>162</v>
      </c>
      <c r="I14" t="s">
        <v>163</v>
      </c>
      <c r="J14" t="s">
        <v>170</v>
      </c>
      <c r="K14" t="s">
        <v>199</v>
      </c>
      <c r="M14" t="s">
        <v>92</v>
      </c>
      <c r="N14" t="s">
        <v>41</v>
      </c>
      <c r="O14" t="s">
        <v>29</v>
      </c>
      <c r="P14" t="s">
        <v>220</v>
      </c>
      <c r="Q14" s="8" t="s">
        <v>221</v>
      </c>
      <c r="R14" t="s">
        <v>222</v>
      </c>
      <c r="S14" t="s">
        <v>32</v>
      </c>
      <c r="T14" t="s">
        <v>33</v>
      </c>
      <c r="U14" t="b">
        <f>FALSE()</f>
        <v>0</v>
      </c>
    </row>
    <row r="15" spans="1:21" ht="30" customHeight="1" x14ac:dyDescent="0.25">
      <c r="A15" s="11" t="s">
        <v>223</v>
      </c>
      <c r="B15" s="7">
        <v>46405</v>
      </c>
      <c r="C15" s="1" t="str">
        <f t="shared" si="0"/>
        <v>Monday</v>
      </c>
      <c r="D15" s="1" t="s">
        <v>224</v>
      </c>
      <c r="E15" s="1" t="s">
        <v>52</v>
      </c>
      <c r="F15" s="1" t="s">
        <v>225</v>
      </c>
      <c r="G15" s="2">
        <v>6</v>
      </c>
      <c r="H15" t="s">
        <v>162</v>
      </c>
      <c r="I15" t="s">
        <v>163</v>
      </c>
      <c r="J15" t="s">
        <v>170</v>
      </c>
      <c r="K15" t="s">
        <v>226</v>
      </c>
      <c r="M15" t="s">
        <v>52</v>
      </c>
      <c r="N15" t="s">
        <v>41</v>
      </c>
      <c r="O15" t="s">
        <v>29</v>
      </c>
      <c r="Q15" s="8" t="s">
        <v>227</v>
      </c>
      <c r="R15" t="s">
        <v>228</v>
      </c>
      <c r="S15" t="s">
        <v>32</v>
      </c>
      <c r="T15" t="s">
        <v>33</v>
      </c>
      <c r="U15" t="b">
        <f>FALSE()</f>
        <v>0</v>
      </c>
    </row>
    <row r="16" spans="1:21" ht="30" customHeight="1" x14ac:dyDescent="0.25">
      <c r="A16" s="11" t="s">
        <v>229</v>
      </c>
      <c r="B16" s="7">
        <v>46407</v>
      </c>
      <c r="C16" s="1" t="str">
        <f t="shared" si="0"/>
        <v>Wednesday</v>
      </c>
      <c r="D16" s="1" t="s">
        <v>224</v>
      </c>
      <c r="E16" s="1" t="s">
        <v>52</v>
      </c>
      <c r="F16" s="1" t="s">
        <v>225</v>
      </c>
      <c r="G16" s="2">
        <v>6</v>
      </c>
      <c r="H16" t="s">
        <v>162</v>
      </c>
      <c r="I16" t="s">
        <v>163</v>
      </c>
      <c r="J16" t="s">
        <v>170</v>
      </c>
      <c r="K16" t="s">
        <v>226</v>
      </c>
      <c r="M16" t="s">
        <v>52</v>
      </c>
      <c r="N16" t="s">
        <v>41</v>
      </c>
      <c r="O16" t="s">
        <v>29</v>
      </c>
      <c r="Q16" s="8" t="s">
        <v>230</v>
      </c>
      <c r="R16" t="s">
        <v>228</v>
      </c>
      <c r="S16" t="s">
        <v>32</v>
      </c>
      <c r="T16" t="s">
        <v>33</v>
      </c>
      <c r="U16" t="b">
        <f>FALSE()</f>
        <v>0</v>
      </c>
    </row>
    <row r="17" spans="1:21" ht="30" customHeight="1" x14ac:dyDescent="0.25">
      <c r="A17" s="11" t="s">
        <v>231</v>
      </c>
      <c r="B17" s="7">
        <v>46407</v>
      </c>
      <c r="C17" s="1" t="str">
        <f t="shared" si="0"/>
        <v>Wednesday</v>
      </c>
      <c r="D17" s="1" t="s">
        <v>91</v>
      </c>
      <c r="E17" s="1" t="s">
        <v>46</v>
      </c>
      <c r="F17" s="1" t="s">
        <v>37</v>
      </c>
      <c r="G17" s="2">
        <v>80</v>
      </c>
      <c r="H17" t="s">
        <v>162</v>
      </c>
      <c r="I17" t="s">
        <v>163</v>
      </c>
      <c r="J17" t="s">
        <v>175</v>
      </c>
      <c r="K17" t="s">
        <v>165</v>
      </c>
      <c r="M17" t="s">
        <v>86</v>
      </c>
      <c r="N17" t="s">
        <v>41</v>
      </c>
      <c r="O17" t="s">
        <v>29</v>
      </c>
      <c r="P17" t="s">
        <v>232</v>
      </c>
      <c r="Q17" s="8" t="s">
        <v>233</v>
      </c>
      <c r="R17" t="s">
        <v>234</v>
      </c>
      <c r="S17" t="s">
        <v>32</v>
      </c>
      <c r="T17" t="s">
        <v>33</v>
      </c>
      <c r="U17" t="b">
        <f>FALSE()</f>
        <v>0</v>
      </c>
    </row>
    <row r="18" spans="1:21" ht="30" customHeight="1" x14ac:dyDescent="0.25">
      <c r="A18" s="11" t="s">
        <v>235</v>
      </c>
      <c r="B18" s="7">
        <v>46408</v>
      </c>
      <c r="C18" s="1" t="str">
        <f t="shared" si="0"/>
        <v>Thursday</v>
      </c>
      <c r="D18" s="1" t="s">
        <v>35</v>
      </c>
      <c r="E18" s="1" t="s">
        <v>128</v>
      </c>
      <c r="F18" s="1" t="s">
        <v>37</v>
      </c>
      <c r="G18" s="2">
        <v>80</v>
      </c>
      <c r="H18" t="s">
        <v>162</v>
      </c>
      <c r="I18" t="s">
        <v>163</v>
      </c>
      <c r="J18" t="s">
        <v>164</v>
      </c>
      <c r="K18" t="s">
        <v>176</v>
      </c>
      <c r="L18" t="s">
        <v>236</v>
      </c>
      <c r="M18" t="s">
        <v>128</v>
      </c>
      <c r="N18" t="s">
        <v>41</v>
      </c>
      <c r="O18" t="s">
        <v>29</v>
      </c>
      <c r="Q18" s="8" t="s">
        <v>237</v>
      </c>
      <c r="R18" t="s">
        <v>238</v>
      </c>
      <c r="S18" t="s">
        <v>32</v>
      </c>
      <c r="T18" t="s">
        <v>33</v>
      </c>
      <c r="U18" t="b">
        <f>FALSE()</f>
        <v>0</v>
      </c>
    </row>
    <row r="19" spans="1:21" ht="30" customHeight="1" x14ac:dyDescent="0.25">
      <c r="A19" s="11" t="s">
        <v>239</v>
      </c>
      <c r="B19" s="7">
        <v>46408</v>
      </c>
      <c r="C19" s="1" t="str">
        <f t="shared" si="0"/>
        <v>Thursday</v>
      </c>
      <c r="D19" s="1" t="s">
        <v>240</v>
      </c>
      <c r="E19" s="1" t="s">
        <v>241</v>
      </c>
      <c r="F19" s="1" t="s">
        <v>37</v>
      </c>
      <c r="G19" s="2">
        <v>80</v>
      </c>
      <c r="H19" t="s">
        <v>162</v>
      </c>
      <c r="I19" t="s">
        <v>163</v>
      </c>
      <c r="J19" t="s">
        <v>175</v>
      </c>
      <c r="K19" t="s">
        <v>176</v>
      </c>
      <c r="M19" t="s">
        <v>241</v>
      </c>
      <c r="N19" t="s">
        <v>41</v>
      </c>
      <c r="O19" t="s">
        <v>29</v>
      </c>
      <c r="P19" t="s">
        <v>242</v>
      </c>
      <c r="Q19" s="8" t="s">
        <v>243</v>
      </c>
      <c r="R19" t="s">
        <v>244</v>
      </c>
      <c r="S19" t="s">
        <v>32</v>
      </c>
      <c r="T19" t="s">
        <v>33</v>
      </c>
      <c r="U19" t="b">
        <f>FALSE()</f>
        <v>0</v>
      </c>
    </row>
    <row r="20" spans="1:21" ht="30" customHeight="1" x14ac:dyDescent="0.25">
      <c r="A20" s="11" t="s">
        <v>245</v>
      </c>
      <c r="B20" s="7">
        <v>46414</v>
      </c>
      <c r="C20" s="1" t="str">
        <f t="shared" si="0"/>
        <v>Wednesday</v>
      </c>
      <c r="D20" s="1" t="s">
        <v>74</v>
      </c>
      <c r="E20" s="1" t="s">
        <v>75</v>
      </c>
      <c r="F20" s="1" t="s">
        <v>37</v>
      </c>
      <c r="G20" s="2">
        <v>80</v>
      </c>
      <c r="H20" t="s">
        <v>162</v>
      </c>
      <c r="I20" t="s">
        <v>163</v>
      </c>
      <c r="J20" t="s">
        <v>175</v>
      </c>
      <c r="K20" t="s">
        <v>176</v>
      </c>
      <c r="M20" t="s">
        <v>246</v>
      </c>
      <c r="N20" t="s">
        <v>29</v>
      </c>
      <c r="O20" t="s">
        <v>29</v>
      </c>
      <c r="P20" t="s">
        <v>247</v>
      </c>
      <c r="Q20" s="8" t="s">
        <v>248</v>
      </c>
      <c r="R20" t="s">
        <v>249</v>
      </c>
      <c r="S20" t="s">
        <v>32</v>
      </c>
      <c r="T20" t="s">
        <v>33</v>
      </c>
      <c r="U20" t="b">
        <f>FALSE()</f>
        <v>0</v>
      </c>
    </row>
    <row r="21" spans="1:21" ht="30" customHeight="1" x14ac:dyDescent="0.25">
      <c r="A21" s="13" t="s">
        <v>250</v>
      </c>
      <c r="B21" s="7">
        <v>46416</v>
      </c>
      <c r="C21" s="1" t="str">
        <f t="shared" si="0"/>
        <v>Friday</v>
      </c>
      <c r="D21" s="12" t="s">
        <v>251</v>
      </c>
      <c r="E21" s="1" t="s">
        <v>36</v>
      </c>
      <c r="F21" s="1" t="s">
        <v>24</v>
      </c>
      <c r="G21" s="14">
        <v>24</v>
      </c>
      <c r="H21" t="s">
        <v>162</v>
      </c>
      <c r="I21" t="s">
        <v>163</v>
      </c>
      <c r="J21" t="s">
        <v>170</v>
      </c>
      <c r="K21" t="s">
        <v>188</v>
      </c>
      <c r="M21" t="s">
        <v>36</v>
      </c>
      <c r="N21" t="s">
        <v>41</v>
      </c>
      <c r="O21" t="s">
        <v>29</v>
      </c>
      <c r="Q21" s="8" t="s">
        <v>252</v>
      </c>
      <c r="R21" t="s">
        <v>253</v>
      </c>
      <c r="S21" t="s">
        <v>32</v>
      </c>
      <c r="T21" t="s">
        <v>33</v>
      </c>
      <c r="U21" t="b">
        <f>FALSE()</f>
        <v>0</v>
      </c>
    </row>
    <row r="22" spans="1:21" ht="30" customHeight="1" x14ac:dyDescent="0.25">
      <c r="A22" s="11" t="s">
        <v>254</v>
      </c>
      <c r="B22" s="7">
        <v>46420</v>
      </c>
      <c r="C22" s="1" t="str">
        <f t="shared" si="0"/>
        <v>Tuesday</v>
      </c>
      <c r="D22" s="1" t="s">
        <v>98</v>
      </c>
      <c r="E22" s="1" t="s">
        <v>99</v>
      </c>
      <c r="F22" s="1" t="s">
        <v>37</v>
      </c>
      <c r="G22" s="2">
        <v>80</v>
      </c>
      <c r="H22" t="s">
        <v>162</v>
      </c>
      <c r="I22" t="s">
        <v>163</v>
      </c>
      <c r="J22" t="s">
        <v>164</v>
      </c>
      <c r="K22" t="s">
        <v>176</v>
      </c>
      <c r="L22" t="s">
        <v>255</v>
      </c>
      <c r="M22" t="s">
        <v>99</v>
      </c>
      <c r="N22" t="s">
        <v>41</v>
      </c>
      <c r="O22" t="s">
        <v>29</v>
      </c>
      <c r="P22" t="s">
        <v>101</v>
      </c>
      <c r="Q22" s="8" t="s">
        <v>256</v>
      </c>
      <c r="R22" t="s">
        <v>257</v>
      </c>
      <c r="S22" t="s">
        <v>32</v>
      </c>
      <c r="T22" t="s">
        <v>33</v>
      </c>
      <c r="U22" t="b">
        <f>FALSE()</f>
        <v>0</v>
      </c>
    </row>
    <row r="23" spans="1:21" ht="30" customHeight="1" x14ac:dyDescent="0.25">
      <c r="A23" s="11" t="s">
        <v>258</v>
      </c>
      <c r="B23" s="7">
        <v>46420</v>
      </c>
      <c r="C23" s="1" t="str">
        <f t="shared" si="0"/>
        <v>Tuesday</v>
      </c>
      <c r="D23" s="1" t="s">
        <v>224</v>
      </c>
      <c r="E23" s="1" t="s">
        <v>52</v>
      </c>
      <c r="F23" s="1" t="s">
        <v>259</v>
      </c>
      <c r="G23" s="2">
        <v>6</v>
      </c>
      <c r="H23" t="s">
        <v>162</v>
      </c>
      <c r="I23" t="s">
        <v>163</v>
      </c>
      <c r="J23" t="s">
        <v>170</v>
      </c>
      <c r="K23" t="s">
        <v>226</v>
      </c>
      <c r="M23" t="s">
        <v>52</v>
      </c>
      <c r="N23" t="s">
        <v>41</v>
      </c>
      <c r="O23" t="s">
        <v>29</v>
      </c>
      <c r="P23" t="s">
        <v>260</v>
      </c>
      <c r="Q23" s="8" t="s">
        <v>261</v>
      </c>
      <c r="R23" t="s">
        <v>262</v>
      </c>
      <c r="S23" t="s">
        <v>32</v>
      </c>
      <c r="T23" t="s">
        <v>33</v>
      </c>
      <c r="U23" t="b">
        <f>FALSE()</f>
        <v>0</v>
      </c>
    </row>
    <row r="24" spans="1:21" ht="15" customHeight="1" x14ac:dyDescent="0.25">
      <c r="A24" s="11" t="s">
        <v>263</v>
      </c>
      <c r="B24" s="7">
        <v>46420</v>
      </c>
      <c r="C24" s="1" t="str">
        <f t="shared" si="0"/>
        <v>Tuesday</v>
      </c>
      <c r="D24" s="1" t="s">
        <v>69</v>
      </c>
      <c r="E24" s="1" t="s">
        <v>23</v>
      </c>
      <c r="F24" s="1" t="s">
        <v>37</v>
      </c>
      <c r="G24" s="2">
        <v>40</v>
      </c>
      <c r="H24" t="s">
        <v>162</v>
      </c>
      <c r="I24" t="s">
        <v>163</v>
      </c>
      <c r="J24" t="s">
        <v>175</v>
      </c>
      <c r="K24" t="s">
        <v>165</v>
      </c>
      <c r="M24" t="s">
        <v>23</v>
      </c>
      <c r="N24" t="s">
        <v>41</v>
      </c>
      <c r="O24" t="s">
        <v>29</v>
      </c>
      <c r="P24" t="s">
        <v>264</v>
      </c>
      <c r="Q24" s="8" t="s">
        <v>265</v>
      </c>
      <c r="R24" t="s">
        <v>266</v>
      </c>
      <c r="S24" t="s">
        <v>32</v>
      </c>
      <c r="T24" t="s">
        <v>33</v>
      </c>
      <c r="U24" t="b">
        <f>FALSE()</f>
        <v>0</v>
      </c>
    </row>
    <row r="25" spans="1:21" ht="15" customHeight="1" x14ac:dyDescent="0.25">
      <c r="A25" s="11" t="s">
        <v>267</v>
      </c>
      <c r="B25" s="7">
        <v>46421</v>
      </c>
      <c r="C25" s="1" t="str">
        <f t="shared" si="0"/>
        <v>Wednesday</v>
      </c>
      <c r="D25" s="1" t="s">
        <v>178</v>
      </c>
      <c r="E25" s="1" t="s">
        <v>128</v>
      </c>
      <c r="F25" s="1" t="s">
        <v>179</v>
      </c>
      <c r="G25" s="2">
        <v>12</v>
      </c>
      <c r="H25" t="s">
        <v>162</v>
      </c>
      <c r="I25" t="s">
        <v>163</v>
      </c>
      <c r="J25" t="s">
        <v>170</v>
      </c>
      <c r="K25" t="s">
        <v>176</v>
      </c>
      <c r="M25" t="s">
        <v>128</v>
      </c>
      <c r="N25" t="s">
        <v>41</v>
      </c>
      <c r="O25" t="s">
        <v>29</v>
      </c>
      <c r="Q25" s="8" t="s">
        <v>268</v>
      </c>
      <c r="R25" t="s">
        <v>181</v>
      </c>
      <c r="S25" t="s">
        <v>32</v>
      </c>
      <c r="T25" t="s">
        <v>33</v>
      </c>
      <c r="U25" t="b">
        <f>FALSE()</f>
        <v>0</v>
      </c>
    </row>
    <row r="26" spans="1:21" ht="15" customHeight="1" x14ac:dyDescent="0.25">
      <c r="A26" s="11" t="s">
        <v>269</v>
      </c>
      <c r="B26" s="7">
        <v>46421</v>
      </c>
      <c r="C26" s="1" t="str">
        <f t="shared" si="0"/>
        <v>Wednesday</v>
      </c>
      <c r="D26" s="1" t="s">
        <v>45</v>
      </c>
      <c r="E26" s="1" t="s">
        <v>46</v>
      </c>
      <c r="F26" s="1" t="s">
        <v>37</v>
      </c>
      <c r="G26" s="2">
        <v>80</v>
      </c>
      <c r="H26" t="s">
        <v>162</v>
      </c>
      <c r="I26" t="s">
        <v>163</v>
      </c>
      <c r="J26" t="s">
        <v>164</v>
      </c>
      <c r="K26" t="s">
        <v>165</v>
      </c>
      <c r="L26" t="s">
        <v>172</v>
      </c>
      <c r="M26" t="s">
        <v>46</v>
      </c>
      <c r="N26" t="s">
        <v>41</v>
      </c>
      <c r="O26" t="s">
        <v>29</v>
      </c>
      <c r="Q26" s="8" t="s">
        <v>270</v>
      </c>
      <c r="R26" t="s">
        <v>49</v>
      </c>
      <c r="S26" t="s">
        <v>32</v>
      </c>
      <c r="T26" t="s">
        <v>33</v>
      </c>
      <c r="U26" t="b">
        <f>FALSE()</f>
        <v>0</v>
      </c>
    </row>
    <row r="27" spans="1:21" ht="15" customHeight="1" x14ac:dyDescent="0.25">
      <c r="A27" s="11" t="s">
        <v>271</v>
      </c>
      <c r="B27" s="7">
        <v>46422</v>
      </c>
      <c r="C27" s="1" t="str">
        <f t="shared" si="0"/>
        <v>Thursday</v>
      </c>
      <c r="D27" s="1" t="s">
        <v>224</v>
      </c>
      <c r="E27" s="1" t="s">
        <v>52</v>
      </c>
      <c r="F27" s="1" t="s">
        <v>259</v>
      </c>
      <c r="G27" s="2">
        <v>6</v>
      </c>
      <c r="H27" t="s">
        <v>162</v>
      </c>
      <c r="I27" t="s">
        <v>163</v>
      </c>
      <c r="J27" t="s">
        <v>170</v>
      </c>
      <c r="K27" t="s">
        <v>226</v>
      </c>
      <c r="M27" t="s">
        <v>52</v>
      </c>
      <c r="N27" t="s">
        <v>41</v>
      </c>
      <c r="O27" t="s">
        <v>29</v>
      </c>
      <c r="P27" t="s">
        <v>260</v>
      </c>
      <c r="Q27" s="8" t="s">
        <v>272</v>
      </c>
      <c r="R27" t="s">
        <v>262</v>
      </c>
      <c r="S27" t="s">
        <v>32</v>
      </c>
      <c r="T27" t="s">
        <v>33</v>
      </c>
      <c r="U27" t="b">
        <f>FALSE()</f>
        <v>0</v>
      </c>
    </row>
    <row r="28" spans="1:21" ht="15" customHeight="1" x14ac:dyDescent="0.25">
      <c r="A28" s="11" t="s">
        <v>273</v>
      </c>
      <c r="B28" s="7">
        <v>46422</v>
      </c>
      <c r="C28" s="1" t="str">
        <f t="shared" si="0"/>
        <v>Thursday</v>
      </c>
      <c r="D28" s="1" t="s">
        <v>240</v>
      </c>
      <c r="E28" s="1" t="s">
        <v>241</v>
      </c>
      <c r="F28" s="1" t="s">
        <v>37</v>
      </c>
      <c r="G28" s="2">
        <v>80</v>
      </c>
      <c r="H28" t="s">
        <v>162</v>
      </c>
      <c r="I28" t="s">
        <v>163</v>
      </c>
      <c r="J28" t="s">
        <v>175</v>
      </c>
      <c r="K28" t="s">
        <v>176</v>
      </c>
      <c r="M28" t="s">
        <v>241</v>
      </c>
      <c r="N28" t="s">
        <v>41</v>
      </c>
      <c r="O28" t="s">
        <v>29</v>
      </c>
      <c r="P28" t="s">
        <v>242</v>
      </c>
      <c r="Q28" s="8" t="s">
        <v>274</v>
      </c>
      <c r="R28" t="s">
        <v>275</v>
      </c>
      <c r="S28" t="s">
        <v>32</v>
      </c>
      <c r="T28" t="s">
        <v>33</v>
      </c>
      <c r="U28" t="b">
        <f>FALSE()</f>
        <v>0</v>
      </c>
    </row>
    <row r="29" spans="1:21" ht="15.75" customHeight="1" x14ac:dyDescent="0.25">
      <c r="A29" s="13" t="s">
        <v>276</v>
      </c>
      <c r="B29" s="7">
        <v>46423</v>
      </c>
      <c r="C29" s="1" t="str">
        <f t="shared" si="0"/>
        <v>Friday</v>
      </c>
      <c r="D29" s="12" t="s">
        <v>251</v>
      </c>
      <c r="E29" s="1" t="s">
        <v>36</v>
      </c>
      <c r="F29" s="1" t="s">
        <v>24</v>
      </c>
      <c r="G29" s="14">
        <v>24</v>
      </c>
      <c r="H29" t="s">
        <v>162</v>
      </c>
      <c r="I29" t="s">
        <v>163</v>
      </c>
      <c r="J29" t="s">
        <v>170</v>
      </c>
      <c r="K29" t="s">
        <v>188</v>
      </c>
      <c r="M29" t="s">
        <v>36</v>
      </c>
      <c r="N29" t="s">
        <v>41</v>
      </c>
      <c r="O29" t="s">
        <v>29</v>
      </c>
      <c r="Q29" s="8" t="s">
        <v>277</v>
      </c>
      <c r="R29" t="s">
        <v>253</v>
      </c>
      <c r="S29" t="s">
        <v>32</v>
      </c>
      <c r="T29" t="s">
        <v>33</v>
      </c>
      <c r="U29" t="b">
        <f>FALSE()</f>
        <v>0</v>
      </c>
    </row>
    <row r="30" spans="1:21" ht="15.75" customHeight="1" x14ac:dyDescent="0.25">
      <c r="A30" s="11" t="s">
        <v>278</v>
      </c>
      <c r="B30" s="7">
        <v>46426</v>
      </c>
      <c r="C30" s="1" t="str">
        <f t="shared" si="0"/>
        <v>Monday</v>
      </c>
      <c r="D30" s="1" t="s">
        <v>51</v>
      </c>
      <c r="E30" s="1" t="s">
        <v>36</v>
      </c>
      <c r="F30" s="1" t="s">
        <v>37</v>
      </c>
      <c r="G30" s="2">
        <v>80</v>
      </c>
      <c r="H30" t="s">
        <v>162</v>
      </c>
      <c r="I30" t="s">
        <v>163</v>
      </c>
      <c r="J30" t="s">
        <v>164</v>
      </c>
      <c r="K30" t="s">
        <v>188</v>
      </c>
      <c r="L30" t="s">
        <v>189</v>
      </c>
      <c r="M30" t="s">
        <v>36</v>
      </c>
      <c r="N30" t="s">
        <v>41</v>
      </c>
      <c r="O30" t="s">
        <v>29</v>
      </c>
      <c r="Q30" s="8" t="s">
        <v>279</v>
      </c>
      <c r="R30" t="s">
        <v>280</v>
      </c>
      <c r="S30" t="s">
        <v>32</v>
      </c>
      <c r="T30" t="s">
        <v>33</v>
      </c>
      <c r="U30" t="b">
        <f>FALSE()</f>
        <v>0</v>
      </c>
    </row>
    <row r="31" spans="1:21" ht="15.75" customHeight="1" x14ac:dyDescent="0.25">
      <c r="A31" s="11" t="s">
        <v>281</v>
      </c>
      <c r="B31" s="7">
        <v>46427</v>
      </c>
      <c r="C31" s="1" t="str">
        <f t="shared" si="0"/>
        <v>Tuesday</v>
      </c>
      <c r="D31" s="1" t="s">
        <v>91</v>
      </c>
      <c r="E31" s="1" t="s">
        <v>46</v>
      </c>
      <c r="F31" s="1" t="s">
        <v>37</v>
      </c>
      <c r="G31" s="2">
        <v>80</v>
      </c>
      <c r="H31" t="s">
        <v>162</v>
      </c>
      <c r="I31" t="s">
        <v>163</v>
      </c>
      <c r="J31" t="s">
        <v>175</v>
      </c>
      <c r="K31" t="s">
        <v>165</v>
      </c>
      <c r="M31" t="s">
        <v>86</v>
      </c>
      <c r="N31" t="s">
        <v>41</v>
      </c>
      <c r="O31" t="s">
        <v>29</v>
      </c>
      <c r="P31" t="s">
        <v>232</v>
      </c>
      <c r="Q31" s="8" t="s">
        <v>282</v>
      </c>
      <c r="R31" t="s">
        <v>283</v>
      </c>
      <c r="S31" t="s">
        <v>32</v>
      </c>
      <c r="T31" t="s">
        <v>33</v>
      </c>
      <c r="U31" t="b">
        <f>FALSE()</f>
        <v>0</v>
      </c>
    </row>
    <row r="32" spans="1:21" ht="15.75" customHeight="1" x14ac:dyDescent="0.25">
      <c r="A32" s="9" t="s">
        <v>284</v>
      </c>
      <c r="B32" s="7">
        <v>46428</v>
      </c>
      <c r="C32" s="1" t="str">
        <f t="shared" si="0"/>
        <v>Wednesday</v>
      </c>
      <c r="D32" s="1" t="s">
        <v>74</v>
      </c>
      <c r="E32" s="1" t="s">
        <v>75</v>
      </c>
      <c r="F32" s="1" t="s">
        <v>37</v>
      </c>
      <c r="G32" s="2">
        <v>80</v>
      </c>
      <c r="H32" t="s">
        <v>162</v>
      </c>
      <c r="I32" t="s">
        <v>163</v>
      </c>
      <c r="J32" t="s">
        <v>175</v>
      </c>
      <c r="K32" t="s">
        <v>176</v>
      </c>
      <c r="M32" t="s">
        <v>246</v>
      </c>
      <c r="N32" t="s">
        <v>29</v>
      </c>
      <c r="O32" t="s">
        <v>41</v>
      </c>
      <c r="P32" t="s">
        <v>247</v>
      </c>
      <c r="Q32" s="8" t="s">
        <v>248</v>
      </c>
      <c r="S32" t="s">
        <v>32</v>
      </c>
      <c r="T32" t="s">
        <v>33</v>
      </c>
      <c r="U32" t="b">
        <f>FALSE()</f>
        <v>0</v>
      </c>
    </row>
    <row r="33" spans="1:21" ht="15.75" customHeight="1" x14ac:dyDescent="0.25">
      <c r="A33" s="9" t="s">
        <v>285</v>
      </c>
      <c r="B33" s="7">
        <v>46428</v>
      </c>
      <c r="C33" s="1" t="str">
        <f t="shared" si="0"/>
        <v>Wednesday</v>
      </c>
      <c r="D33" s="1" t="s">
        <v>214</v>
      </c>
      <c r="E33" s="1" t="s">
        <v>128</v>
      </c>
      <c r="F33" s="1" t="s">
        <v>37</v>
      </c>
      <c r="G33" s="2">
        <v>80</v>
      </c>
      <c r="H33" t="s">
        <v>162</v>
      </c>
      <c r="I33" t="s">
        <v>163</v>
      </c>
      <c r="J33" t="s">
        <v>175</v>
      </c>
      <c r="K33" t="s">
        <v>176</v>
      </c>
      <c r="M33" t="s">
        <v>128</v>
      </c>
      <c r="N33" t="s">
        <v>29</v>
      </c>
      <c r="O33" t="s">
        <v>41</v>
      </c>
      <c r="P33" t="s">
        <v>215</v>
      </c>
      <c r="Q33" s="8" t="s">
        <v>216</v>
      </c>
      <c r="S33" t="s">
        <v>32</v>
      </c>
      <c r="T33" t="s">
        <v>33</v>
      </c>
      <c r="U33" t="b">
        <f>FALSE()</f>
        <v>0</v>
      </c>
    </row>
    <row r="34" spans="1:21" ht="15.75" customHeight="1" x14ac:dyDescent="0.25">
      <c r="A34" s="13" t="s">
        <v>286</v>
      </c>
      <c r="B34" s="7">
        <v>46430</v>
      </c>
      <c r="C34" s="1" t="str">
        <f t="shared" si="0"/>
        <v>Friday</v>
      </c>
      <c r="D34" s="12" t="s">
        <v>251</v>
      </c>
      <c r="E34" s="1" t="s">
        <v>36</v>
      </c>
      <c r="F34" s="1" t="s">
        <v>24</v>
      </c>
      <c r="G34" s="14">
        <v>24</v>
      </c>
      <c r="H34" t="s">
        <v>162</v>
      </c>
      <c r="I34" t="s">
        <v>163</v>
      </c>
      <c r="J34" t="s">
        <v>170</v>
      </c>
      <c r="K34" t="s">
        <v>188</v>
      </c>
      <c r="M34" t="s">
        <v>36</v>
      </c>
      <c r="N34" t="s">
        <v>41</v>
      </c>
      <c r="O34" t="s">
        <v>29</v>
      </c>
      <c r="Q34" s="8" t="s">
        <v>287</v>
      </c>
      <c r="R34" t="s">
        <v>253</v>
      </c>
      <c r="S34" t="s">
        <v>32</v>
      </c>
      <c r="T34" t="s">
        <v>33</v>
      </c>
      <c r="U34" t="b">
        <f>FALSE()</f>
        <v>0</v>
      </c>
    </row>
    <row r="35" spans="1:21" ht="15.75" customHeight="1" x14ac:dyDescent="0.25">
      <c r="A35" s="11" t="s">
        <v>288</v>
      </c>
      <c r="B35" s="7">
        <v>46441</v>
      </c>
      <c r="C35" s="1" t="str">
        <f t="shared" si="0"/>
        <v>Tuesday</v>
      </c>
      <c r="D35" s="1" t="s">
        <v>35</v>
      </c>
      <c r="E35" s="1" t="s">
        <v>92</v>
      </c>
      <c r="F35" s="1" t="s">
        <v>37</v>
      </c>
      <c r="G35" s="2">
        <v>80</v>
      </c>
      <c r="H35" t="s">
        <v>162</v>
      </c>
      <c r="I35" t="s">
        <v>163</v>
      </c>
      <c r="J35" t="s">
        <v>164</v>
      </c>
      <c r="K35" t="s">
        <v>199</v>
      </c>
      <c r="L35" t="s">
        <v>200</v>
      </c>
      <c r="M35" t="s">
        <v>92</v>
      </c>
      <c r="N35" t="s">
        <v>41</v>
      </c>
      <c r="O35" t="s">
        <v>29</v>
      </c>
      <c r="P35" t="s">
        <v>201</v>
      </c>
      <c r="Q35" s="8" t="s">
        <v>289</v>
      </c>
      <c r="R35" t="s">
        <v>203</v>
      </c>
      <c r="S35" t="s">
        <v>32</v>
      </c>
      <c r="T35" t="s">
        <v>33</v>
      </c>
      <c r="U35" t="b">
        <f>FALSE()</f>
        <v>0</v>
      </c>
    </row>
    <row r="36" spans="1:21" ht="15" customHeight="1" x14ac:dyDescent="0.25">
      <c r="A36" s="11" t="s">
        <v>290</v>
      </c>
      <c r="B36" s="7">
        <v>46444</v>
      </c>
      <c r="C36" s="1" t="str">
        <f t="shared" si="0"/>
        <v>Friday</v>
      </c>
      <c r="D36" s="1" t="s">
        <v>291</v>
      </c>
      <c r="E36" s="1" t="s">
        <v>23</v>
      </c>
      <c r="F36" s="1" t="s">
        <v>37</v>
      </c>
      <c r="G36" s="2">
        <v>100</v>
      </c>
      <c r="H36" t="s">
        <v>162</v>
      </c>
      <c r="I36" t="s">
        <v>163</v>
      </c>
      <c r="J36" t="s">
        <v>164</v>
      </c>
      <c r="K36" t="s">
        <v>165</v>
      </c>
      <c r="L36" t="s">
        <v>166</v>
      </c>
      <c r="M36" t="s">
        <v>23</v>
      </c>
      <c r="N36" t="s">
        <v>41</v>
      </c>
      <c r="O36" t="s">
        <v>29</v>
      </c>
      <c r="Q36" s="8" t="s">
        <v>292</v>
      </c>
      <c r="R36" t="s">
        <v>293</v>
      </c>
      <c r="S36" t="s">
        <v>32</v>
      </c>
      <c r="T36" t="s">
        <v>33</v>
      </c>
      <c r="U36" t="b">
        <f>FALSE()</f>
        <v>0</v>
      </c>
    </row>
  </sheetData>
  <dataValidations count="2">
    <dataValidation type="list" allowBlank="1" sqref="S2:S36" xr:uid="{00000000-0002-0000-0100-000000000000}">
      <formula1>"Regional,Local"</formula1>
      <formula2>0</formula2>
    </dataValidation>
    <dataValidation type="list" allowBlank="1" sqref="T2:T36" xr:uid="{00000000-0002-0000-0100-000001000000}">
      <formula1>"Website,External"</formula1>
      <formula2>0</formula2>
    </dataValidation>
  </dataValidations>
  <hyperlinks>
    <hyperlink ref="Q2" r:id="rId1" xr:uid="{00000000-0004-0000-0100-000000000000}"/>
    <hyperlink ref="Q3" r:id="rId2" xr:uid="{00000000-0004-0000-0100-000001000000}"/>
    <hyperlink ref="Q4" r:id="rId3" xr:uid="{00000000-0004-0000-0100-000002000000}"/>
    <hyperlink ref="Q5" r:id="rId4" xr:uid="{00000000-0004-0000-0100-000003000000}"/>
    <hyperlink ref="Q17" r:id="rId5" xr:uid="{00000000-0004-0000-0100-000004000000}"/>
    <hyperlink ref="Q21" r:id="rId6" xr:uid="{00000000-0004-0000-0100-000005000000}"/>
    <hyperlink ref="Q22" r:id="rId7" xr:uid="{00000000-0004-0000-0100-000006000000}"/>
    <hyperlink ref="Q26" r:id="rId8" xr:uid="{00000000-0004-0000-0100-000007000000}"/>
    <hyperlink ref="Q29" r:id="rId9" xr:uid="{00000000-0004-0000-0100-000008000000}"/>
    <hyperlink ref="Q31" r:id="rId10" xr:uid="{00000000-0004-0000-0100-000009000000}"/>
    <hyperlink ref="Q34" r:id="rId11" xr:uid="{00000000-0004-0000-0100-00000A000000}"/>
  </hyperlinks>
  <pageMargins left="0.7" right="0.7" top="0.75" bottom="0.75" header="0.511811023622047" footer="0.511811023622047"/>
  <pageSetup paperSize="9" orientation="portrait" horizontalDpi="300" verticalDpi="300"/>
  <tableParts count="1">
    <tablePart r:id="rId1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3"/>
  <sheetViews>
    <sheetView zoomScaleNormal="100" workbookViewId="0">
      <pane ySplit="1" topLeftCell="A8" activePane="bottomLeft" state="frozen"/>
      <selection pane="bottomLeft" activeCell="N25" sqref="N25"/>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30" customHeight="1" x14ac:dyDescent="0.25">
      <c r="A2" s="11" t="s">
        <v>294</v>
      </c>
      <c r="B2" s="7">
        <v>46448</v>
      </c>
      <c r="C2" s="1" t="str">
        <f t="shared" ref="C2:C33" si="0">IF(B2="","",TEXT(B2,"dddd"))</f>
        <v>Tuesday</v>
      </c>
      <c r="D2" s="1" t="s">
        <v>224</v>
      </c>
      <c r="E2" s="1" t="s">
        <v>52</v>
      </c>
      <c r="F2" s="1" t="s">
        <v>295</v>
      </c>
      <c r="G2" s="2">
        <v>6</v>
      </c>
      <c r="H2" t="s">
        <v>296</v>
      </c>
      <c r="I2" t="s">
        <v>297</v>
      </c>
      <c r="J2" t="s">
        <v>298</v>
      </c>
      <c r="K2" t="s">
        <v>299</v>
      </c>
      <c r="M2" t="s">
        <v>52</v>
      </c>
      <c r="N2" t="s">
        <v>41</v>
      </c>
      <c r="O2" t="s">
        <v>29</v>
      </c>
      <c r="Q2" s="10" t="s">
        <v>300</v>
      </c>
      <c r="R2" t="s">
        <v>301</v>
      </c>
      <c r="S2" t="s">
        <v>32</v>
      </c>
      <c r="T2" t="s">
        <v>33</v>
      </c>
      <c r="U2" t="b">
        <f>FALSE()</f>
        <v>0</v>
      </c>
    </row>
    <row r="3" spans="1:21" ht="15" customHeight="1" x14ac:dyDescent="0.25">
      <c r="A3" s="11" t="s">
        <v>302</v>
      </c>
      <c r="B3" s="7">
        <v>46449</v>
      </c>
      <c r="C3" s="1" t="str">
        <f t="shared" si="0"/>
        <v>Wednesday</v>
      </c>
      <c r="D3" s="1" t="s">
        <v>240</v>
      </c>
      <c r="E3" s="1" t="s">
        <v>241</v>
      </c>
      <c r="F3" s="1" t="s">
        <v>37</v>
      </c>
      <c r="G3" s="2">
        <v>80</v>
      </c>
      <c r="H3" t="s">
        <v>296</v>
      </c>
      <c r="I3" t="s">
        <v>297</v>
      </c>
      <c r="J3" t="s">
        <v>303</v>
      </c>
      <c r="K3" t="s">
        <v>304</v>
      </c>
      <c r="M3" t="s">
        <v>241</v>
      </c>
      <c r="N3" t="s">
        <v>41</v>
      </c>
      <c r="O3" t="s">
        <v>29</v>
      </c>
      <c r="P3" t="s">
        <v>242</v>
      </c>
      <c r="Q3" s="10" t="s">
        <v>305</v>
      </c>
      <c r="R3" t="s">
        <v>306</v>
      </c>
      <c r="S3" t="s">
        <v>32</v>
      </c>
      <c r="T3" t="s">
        <v>33</v>
      </c>
      <c r="U3" t="b">
        <f>FALSE()</f>
        <v>0</v>
      </c>
    </row>
    <row r="4" spans="1:21" ht="30" customHeight="1" x14ac:dyDescent="0.25">
      <c r="A4" s="11" t="s">
        <v>307</v>
      </c>
      <c r="B4" s="7">
        <v>46450</v>
      </c>
      <c r="C4" s="1" t="str">
        <f t="shared" si="0"/>
        <v>Thursday</v>
      </c>
      <c r="D4" s="1" t="s">
        <v>35</v>
      </c>
      <c r="E4" s="1" t="s">
        <v>36</v>
      </c>
      <c r="F4" s="1" t="s">
        <v>37</v>
      </c>
      <c r="G4" s="2">
        <v>80</v>
      </c>
      <c r="H4" t="s">
        <v>296</v>
      </c>
      <c r="I4" t="s">
        <v>297</v>
      </c>
      <c r="J4" t="s">
        <v>308</v>
      </c>
      <c r="K4" t="s">
        <v>309</v>
      </c>
      <c r="L4" t="s">
        <v>310</v>
      </c>
      <c r="M4" t="s">
        <v>36</v>
      </c>
      <c r="N4" t="s">
        <v>41</v>
      </c>
      <c r="O4" t="s">
        <v>29</v>
      </c>
      <c r="P4" t="s">
        <v>147</v>
      </c>
      <c r="Q4" s="10" t="s">
        <v>311</v>
      </c>
      <c r="R4" t="s">
        <v>149</v>
      </c>
      <c r="S4" t="s">
        <v>32</v>
      </c>
      <c r="T4" t="s">
        <v>33</v>
      </c>
      <c r="U4" t="b">
        <f>FALSE()</f>
        <v>0</v>
      </c>
    </row>
    <row r="5" spans="1:21" ht="30" customHeight="1" x14ac:dyDescent="0.25">
      <c r="A5" s="11" t="s">
        <v>312</v>
      </c>
      <c r="B5" s="7">
        <v>46455</v>
      </c>
      <c r="C5" s="1" t="str">
        <f t="shared" si="0"/>
        <v>Tuesday</v>
      </c>
      <c r="D5" s="1" t="s">
        <v>91</v>
      </c>
      <c r="E5" s="1" t="s">
        <v>92</v>
      </c>
      <c r="F5" s="1" t="s">
        <v>37</v>
      </c>
      <c r="G5" s="2">
        <v>80</v>
      </c>
      <c r="H5" t="s">
        <v>296</v>
      </c>
      <c r="I5" t="s">
        <v>297</v>
      </c>
      <c r="J5" t="s">
        <v>303</v>
      </c>
      <c r="K5" t="s">
        <v>313</v>
      </c>
      <c r="M5" t="s">
        <v>92</v>
      </c>
      <c r="N5" t="s">
        <v>41</v>
      </c>
      <c r="O5" t="s">
        <v>29</v>
      </c>
      <c r="P5" t="s">
        <v>136</v>
      </c>
      <c r="Q5" s="8" t="s">
        <v>314</v>
      </c>
      <c r="R5" t="s">
        <v>315</v>
      </c>
      <c r="S5" t="s">
        <v>32</v>
      </c>
      <c r="T5" t="s">
        <v>33</v>
      </c>
      <c r="U5" t="b">
        <f>FALSE()</f>
        <v>0</v>
      </c>
    </row>
    <row r="6" spans="1:21" ht="30" customHeight="1" x14ac:dyDescent="0.25">
      <c r="A6" s="9" t="s">
        <v>316</v>
      </c>
      <c r="B6" s="7">
        <v>46456</v>
      </c>
      <c r="C6" s="1" t="str">
        <f t="shared" si="0"/>
        <v>Wednesday</v>
      </c>
      <c r="D6" s="1" t="s">
        <v>214</v>
      </c>
      <c r="E6" s="1" t="s">
        <v>128</v>
      </c>
      <c r="F6" s="1" t="s">
        <v>37</v>
      </c>
      <c r="G6" s="2">
        <v>80</v>
      </c>
      <c r="H6" t="s">
        <v>296</v>
      </c>
      <c r="I6" t="s">
        <v>297</v>
      </c>
      <c r="J6" t="s">
        <v>303</v>
      </c>
      <c r="K6" t="s">
        <v>304</v>
      </c>
      <c r="M6" t="s">
        <v>128</v>
      </c>
      <c r="N6" t="s">
        <v>29</v>
      </c>
      <c r="O6" t="s">
        <v>41</v>
      </c>
      <c r="P6" t="s">
        <v>215</v>
      </c>
      <c r="Q6" s="10" t="s">
        <v>216</v>
      </c>
      <c r="S6" t="s">
        <v>32</v>
      </c>
      <c r="T6" t="s">
        <v>33</v>
      </c>
      <c r="U6" t="b">
        <f>FALSE()</f>
        <v>0</v>
      </c>
    </row>
    <row r="7" spans="1:21" ht="30" customHeight="1" x14ac:dyDescent="0.25">
      <c r="A7" s="11" t="s">
        <v>317</v>
      </c>
      <c r="B7" s="7">
        <v>46456</v>
      </c>
      <c r="C7" s="1" t="str">
        <f t="shared" si="0"/>
        <v>Wednesday</v>
      </c>
      <c r="D7" s="1" t="s">
        <v>91</v>
      </c>
      <c r="E7" s="1" t="s">
        <v>46</v>
      </c>
      <c r="F7" s="1" t="s">
        <v>37</v>
      </c>
      <c r="G7" s="2">
        <v>80</v>
      </c>
      <c r="H7" t="s">
        <v>296</v>
      </c>
      <c r="I7" t="s">
        <v>297</v>
      </c>
      <c r="J7" t="s">
        <v>303</v>
      </c>
      <c r="K7" t="s">
        <v>318</v>
      </c>
      <c r="M7" t="s">
        <v>86</v>
      </c>
      <c r="N7" t="s">
        <v>41</v>
      </c>
      <c r="O7" t="s">
        <v>29</v>
      </c>
      <c r="P7" t="s">
        <v>232</v>
      </c>
      <c r="Q7" s="10" t="s">
        <v>319</v>
      </c>
      <c r="R7" t="s">
        <v>320</v>
      </c>
      <c r="S7" t="s">
        <v>32</v>
      </c>
      <c r="T7" t="s">
        <v>33</v>
      </c>
      <c r="U7" t="b">
        <f>FALSE()</f>
        <v>0</v>
      </c>
    </row>
    <row r="8" spans="1:21" ht="30" customHeight="1" x14ac:dyDescent="0.25">
      <c r="A8" s="11" t="s">
        <v>154</v>
      </c>
      <c r="B8" s="7">
        <v>46457</v>
      </c>
      <c r="C8" s="1" t="str">
        <f t="shared" si="0"/>
        <v>Thursday</v>
      </c>
      <c r="D8" s="1" t="s">
        <v>91</v>
      </c>
      <c r="E8" s="1" t="s">
        <v>36</v>
      </c>
      <c r="F8" s="1" t="s">
        <v>37</v>
      </c>
      <c r="G8" s="2">
        <v>80</v>
      </c>
      <c r="H8" t="s">
        <v>296</v>
      </c>
      <c r="I8" t="s">
        <v>297</v>
      </c>
      <c r="J8" t="s">
        <v>303</v>
      </c>
      <c r="K8" t="s">
        <v>321</v>
      </c>
      <c r="M8" t="s">
        <v>36</v>
      </c>
      <c r="N8" t="s">
        <v>41</v>
      </c>
      <c r="O8" t="s">
        <v>29</v>
      </c>
      <c r="Q8" s="10" t="s">
        <v>322</v>
      </c>
      <c r="R8" t="s">
        <v>157</v>
      </c>
      <c r="S8" t="s">
        <v>32</v>
      </c>
      <c r="T8" t="s">
        <v>33</v>
      </c>
      <c r="U8" t="b">
        <f>FALSE()</f>
        <v>0</v>
      </c>
    </row>
    <row r="9" spans="1:21" ht="30" customHeight="1" x14ac:dyDescent="0.25">
      <c r="A9" s="11" t="s">
        <v>323</v>
      </c>
      <c r="B9" s="7">
        <v>46462</v>
      </c>
      <c r="C9" s="1" t="str">
        <f t="shared" si="0"/>
        <v>Tuesday</v>
      </c>
      <c r="D9" s="1" t="s">
        <v>35</v>
      </c>
      <c r="E9" s="1" t="s">
        <v>128</v>
      </c>
      <c r="F9" s="1" t="s">
        <v>37</v>
      </c>
      <c r="G9" s="2">
        <v>80</v>
      </c>
      <c r="H9" t="s">
        <v>296</v>
      </c>
      <c r="I9" t="s">
        <v>297</v>
      </c>
      <c r="J9" t="s">
        <v>308</v>
      </c>
      <c r="K9" t="s">
        <v>304</v>
      </c>
      <c r="L9" t="s">
        <v>324</v>
      </c>
      <c r="M9" t="s">
        <v>128</v>
      </c>
      <c r="N9" t="s">
        <v>41</v>
      </c>
      <c r="O9" t="s">
        <v>29</v>
      </c>
      <c r="Q9" s="10" t="s">
        <v>325</v>
      </c>
      <c r="R9" t="s">
        <v>238</v>
      </c>
      <c r="S9" t="s">
        <v>32</v>
      </c>
      <c r="T9" t="s">
        <v>33</v>
      </c>
      <c r="U9" t="b">
        <f>FALSE()</f>
        <v>0</v>
      </c>
    </row>
    <row r="10" spans="1:21" ht="30" customHeight="1" x14ac:dyDescent="0.25">
      <c r="A10" s="11" t="s">
        <v>326</v>
      </c>
      <c r="B10" s="7">
        <v>46462</v>
      </c>
      <c r="C10" s="1" t="str">
        <f t="shared" si="0"/>
        <v>Tuesday</v>
      </c>
      <c r="D10" s="1" t="s">
        <v>240</v>
      </c>
      <c r="E10" s="1" t="s">
        <v>46</v>
      </c>
      <c r="F10" s="1" t="s">
        <v>37</v>
      </c>
      <c r="G10" s="2">
        <v>80</v>
      </c>
      <c r="H10" t="s">
        <v>296</v>
      </c>
      <c r="I10" t="s">
        <v>297</v>
      </c>
      <c r="J10" t="s">
        <v>303</v>
      </c>
      <c r="K10" t="s">
        <v>318</v>
      </c>
      <c r="M10" t="s">
        <v>327</v>
      </c>
      <c r="N10" t="s">
        <v>41</v>
      </c>
      <c r="O10" t="s">
        <v>29</v>
      </c>
      <c r="P10" t="s">
        <v>247</v>
      </c>
      <c r="Q10" s="10" t="s">
        <v>328</v>
      </c>
      <c r="R10" t="s">
        <v>329</v>
      </c>
      <c r="S10" t="s">
        <v>32</v>
      </c>
      <c r="T10" t="s">
        <v>33</v>
      </c>
      <c r="U10" t="b">
        <f>FALSE()</f>
        <v>0</v>
      </c>
    </row>
    <row r="11" spans="1:21" ht="30" customHeight="1" x14ac:dyDescent="0.25">
      <c r="A11" s="11" t="s">
        <v>330</v>
      </c>
      <c r="B11" s="7">
        <v>46463</v>
      </c>
      <c r="C11" s="1" t="str">
        <f t="shared" si="0"/>
        <v>Wednesday</v>
      </c>
      <c r="D11" s="1" t="s">
        <v>51</v>
      </c>
      <c r="E11" s="1" t="s">
        <v>52</v>
      </c>
      <c r="F11" s="1" t="s">
        <v>37</v>
      </c>
      <c r="G11" s="2">
        <v>80</v>
      </c>
      <c r="H11" t="s">
        <v>296</v>
      </c>
      <c r="I11" t="s">
        <v>297</v>
      </c>
      <c r="J11" t="s">
        <v>308</v>
      </c>
      <c r="K11" t="s">
        <v>299</v>
      </c>
      <c r="L11" t="s">
        <v>331</v>
      </c>
      <c r="M11" t="s">
        <v>52</v>
      </c>
      <c r="N11" t="s">
        <v>41</v>
      </c>
      <c r="O11" t="s">
        <v>29</v>
      </c>
      <c r="P11" t="s">
        <v>55</v>
      </c>
      <c r="Q11" s="10" t="s">
        <v>332</v>
      </c>
      <c r="R11" t="s">
        <v>333</v>
      </c>
      <c r="S11" t="s">
        <v>32</v>
      </c>
      <c r="T11" t="s">
        <v>33</v>
      </c>
      <c r="U11" t="b">
        <f>FALSE()</f>
        <v>0</v>
      </c>
    </row>
    <row r="12" spans="1:21" ht="30" customHeight="1" x14ac:dyDescent="0.25">
      <c r="A12" s="11" t="s">
        <v>334</v>
      </c>
      <c r="B12" s="7">
        <v>46464</v>
      </c>
      <c r="C12" s="1" t="str">
        <f t="shared" si="0"/>
        <v>Thursday</v>
      </c>
      <c r="D12" s="1" t="s">
        <v>335</v>
      </c>
      <c r="E12" s="1" t="s">
        <v>241</v>
      </c>
      <c r="F12" s="1" t="s">
        <v>37</v>
      </c>
      <c r="G12" s="2">
        <v>80</v>
      </c>
      <c r="H12" t="s">
        <v>296</v>
      </c>
      <c r="I12" t="s">
        <v>297</v>
      </c>
      <c r="J12" t="s">
        <v>308</v>
      </c>
      <c r="K12" t="s">
        <v>304</v>
      </c>
      <c r="L12" t="s">
        <v>336</v>
      </c>
      <c r="M12" t="s">
        <v>241</v>
      </c>
      <c r="N12" t="s">
        <v>41</v>
      </c>
      <c r="O12" t="s">
        <v>29</v>
      </c>
      <c r="Q12" s="10" t="s">
        <v>337</v>
      </c>
      <c r="R12" t="s">
        <v>338</v>
      </c>
      <c r="S12" t="s">
        <v>32</v>
      </c>
      <c r="T12" t="s">
        <v>33</v>
      </c>
      <c r="U12" t="b">
        <f>FALSE()</f>
        <v>0</v>
      </c>
    </row>
    <row r="13" spans="1:21" ht="30" customHeight="1" x14ac:dyDescent="0.25">
      <c r="A13" s="11" t="s">
        <v>339</v>
      </c>
      <c r="B13" s="7">
        <v>46468</v>
      </c>
      <c r="C13" s="1" t="str">
        <f t="shared" si="0"/>
        <v>Monday</v>
      </c>
      <c r="D13" s="1" t="s">
        <v>35</v>
      </c>
      <c r="E13" s="1" t="s">
        <v>36</v>
      </c>
      <c r="F13" s="1" t="s">
        <v>37</v>
      </c>
      <c r="G13" s="2">
        <v>80</v>
      </c>
      <c r="H13" t="s">
        <v>296</v>
      </c>
      <c r="I13" t="s">
        <v>297</v>
      </c>
      <c r="J13" t="s">
        <v>308</v>
      </c>
      <c r="K13" t="s">
        <v>309</v>
      </c>
      <c r="L13" t="s">
        <v>310</v>
      </c>
      <c r="M13" t="s">
        <v>36</v>
      </c>
      <c r="N13" t="s">
        <v>41</v>
      </c>
      <c r="O13" t="s">
        <v>29</v>
      </c>
      <c r="Q13" s="10" t="s">
        <v>340</v>
      </c>
      <c r="R13" t="s">
        <v>341</v>
      </c>
      <c r="S13" t="s">
        <v>32</v>
      </c>
      <c r="T13" t="s">
        <v>33</v>
      </c>
      <c r="U13" t="b">
        <f>FALSE()</f>
        <v>0</v>
      </c>
    </row>
    <row r="14" spans="1:21" ht="30" customHeight="1" x14ac:dyDescent="0.25">
      <c r="A14" s="11" t="s">
        <v>342</v>
      </c>
      <c r="B14" s="7">
        <v>46469</v>
      </c>
      <c r="C14" s="1" t="str">
        <f t="shared" si="0"/>
        <v>Tuesday</v>
      </c>
      <c r="D14" s="1" t="s">
        <v>343</v>
      </c>
      <c r="E14" s="1" t="s">
        <v>106</v>
      </c>
      <c r="F14" s="1" t="s">
        <v>344</v>
      </c>
      <c r="G14" s="2">
        <v>20</v>
      </c>
      <c r="H14" t="s">
        <v>296</v>
      </c>
      <c r="I14" t="s">
        <v>297</v>
      </c>
      <c r="J14" t="s">
        <v>298</v>
      </c>
      <c r="K14" t="s">
        <v>345</v>
      </c>
      <c r="M14" t="s">
        <v>106</v>
      </c>
      <c r="N14" t="s">
        <v>41</v>
      </c>
      <c r="O14" t="s">
        <v>29</v>
      </c>
      <c r="P14" t="s">
        <v>346</v>
      </c>
      <c r="Q14" s="10" t="s">
        <v>347</v>
      </c>
      <c r="R14" t="s">
        <v>348</v>
      </c>
      <c r="S14" t="s">
        <v>32</v>
      </c>
      <c r="T14" t="s">
        <v>33</v>
      </c>
      <c r="U14" t="b">
        <f>FALSE()</f>
        <v>0</v>
      </c>
    </row>
    <row r="15" spans="1:21" ht="30" customHeight="1" x14ac:dyDescent="0.25">
      <c r="A15" s="11" t="s">
        <v>349</v>
      </c>
      <c r="B15" s="7">
        <v>46470</v>
      </c>
      <c r="C15" s="1" t="str">
        <f t="shared" si="0"/>
        <v>Wednesday</v>
      </c>
      <c r="D15" s="1" t="s">
        <v>45</v>
      </c>
      <c r="E15" s="1" t="s">
        <v>46</v>
      </c>
      <c r="F15" s="1" t="s">
        <v>37</v>
      </c>
      <c r="G15" s="2">
        <v>80</v>
      </c>
      <c r="H15" t="s">
        <v>296</v>
      </c>
      <c r="I15" t="s">
        <v>297</v>
      </c>
      <c r="J15" t="s">
        <v>308</v>
      </c>
      <c r="K15" t="s">
        <v>318</v>
      </c>
      <c r="L15" t="s">
        <v>350</v>
      </c>
      <c r="M15" t="s">
        <v>46</v>
      </c>
      <c r="N15" t="s">
        <v>41</v>
      </c>
      <c r="O15" t="s">
        <v>29</v>
      </c>
      <c r="Q15" s="10" t="s">
        <v>351</v>
      </c>
      <c r="R15" t="s">
        <v>49</v>
      </c>
      <c r="S15" t="s">
        <v>32</v>
      </c>
      <c r="T15" t="s">
        <v>33</v>
      </c>
      <c r="U15" t="b">
        <f>FALSE()</f>
        <v>0</v>
      </c>
    </row>
    <row r="16" spans="1:21" ht="30" customHeight="1" x14ac:dyDescent="0.25">
      <c r="A16" s="11" t="s">
        <v>352</v>
      </c>
      <c r="B16" s="7">
        <v>46486</v>
      </c>
      <c r="C16" s="1" t="str">
        <f t="shared" si="0"/>
        <v>Friday</v>
      </c>
      <c r="D16" s="1" t="s">
        <v>183</v>
      </c>
      <c r="E16" s="1" t="s">
        <v>106</v>
      </c>
      <c r="F16" s="1" t="s">
        <v>37</v>
      </c>
      <c r="G16" s="2">
        <v>80</v>
      </c>
      <c r="H16" t="s">
        <v>296</v>
      </c>
      <c r="I16" t="s">
        <v>297</v>
      </c>
      <c r="J16" t="s">
        <v>308</v>
      </c>
      <c r="K16" t="s">
        <v>309</v>
      </c>
      <c r="L16" t="s">
        <v>353</v>
      </c>
      <c r="M16" t="s">
        <v>75</v>
      </c>
      <c r="N16" t="s">
        <v>41</v>
      </c>
      <c r="O16" t="s">
        <v>29</v>
      </c>
      <c r="P16" t="s">
        <v>101</v>
      </c>
      <c r="Q16" s="10" t="s">
        <v>354</v>
      </c>
      <c r="R16" t="s">
        <v>355</v>
      </c>
      <c r="S16" t="s">
        <v>32</v>
      </c>
      <c r="T16" t="s">
        <v>33</v>
      </c>
      <c r="U16" t="b">
        <f>FALSE()</f>
        <v>0</v>
      </c>
    </row>
    <row r="17" spans="1:21" ht="30" customHeight="1" x14ac:dyDescent="0.25">
      <c r="A17" s="11" t="s">
        <v>356</v>
      </c>
      <c r="B17" s="7">
        <v>46492</v>
      </c>
      <c r="C17" s="1" t="str">
        <f t="shared" si="0"/>
        <v>Thursday</v>
      </c>
      <c r="D17" s="1" t="s">
        <v>91</v>
      </c>
      <c r="E17" s="1" t="s">
        <v>36</v>
      </c>
      <c r="F17" s="1" t="s">
        <v>37</v>
      </c>
      <c r="G17" s="2">
        <v>80</v>
      </c>
      <c r="H17" t="s">
        <v>296</v>
      </c>
      <c r="I17" t="s">
        <v>297</v>
      </c>
      <c r="J17" t="s">
        <v>303</v>
      </c>
      <c r="K17" t="s">
        <v>309</v>
      </c>
      <c r="M17" t="s">
        <v>36</v>
      </c>
      <c r="N17" t="s">
        <v>29</v>
      </c>
      <c r="O17" t="s">
        <v>29</v>
      </c>
      <c r="P17" t="s">
        <v>357</v>
      </c>
      <c r="Q17" s="10" t="s">
        <v>358</v>
      </c>
      <c r="R17" t="s">
        <v>359</v>
      </c>
      <c r="S17" t="s">
        <v>32</v>
      </c>
      <c r="T17" t="s">
        <v>33</v>
      </c>
      <c r="U17" t="b">
        <f>FALSE()</f>
        <v>0</v>
      </c>
    </row>
    <row r="18" spans="1:21" ht="30" customHeight="1" x14ac:dyDescent="0.25">
      <c r="A18" s="11" t="s">
        <v>360</v>
      </c>
      <c r="B18" s="7">
        <v>46496</v>
      </c>
      <c r="C18" s="1" t="str">
        <f t="shared" si="0"/>
        <v>Monday</v>
      </c>
      <c r="D18" s="1" t="s">
        <v>105</v>
      </c>
      <c r="E18" s="1" t="s">
        <v>23</v>
      </c>
      <c r="F18" s="1" t="s">
        <v>37</v>
      </c>
      <c r="G18" s="2">
        <v>100</v>
      </c>
      <c r="H18" t="s">
        <v>296</v>
      </c>
      <c r="I18" t="s">
        <v>297</v>
      </c>
      <c r="J18" t="s">
        <v>308</v>
      </c>
      <c r="K18" t="s">
        <v>318</v>
      </c>
      <c r="L18" t="s">
        <v>361</v>
      </c>
      <c r="M18" t="s">
        <v>23</v>
      </c>
      <c r="N18" t="s">
        <v>41</v>
      </c>
      <c r="O18" t="s">
        <v>29</v>
      </c>
      <c r="Q18" s="10" t="s">
        <v>362</v>
      </c>
      <c r="R18" t="s">
        <v>293</v>
      </c>
      <c r="S18" t="s">
        <v>32</v>
      </c>
      <c r="T18" t="s">
        <v>33</v>
      </c>
      <c r="U18" t="b">
        <f>FALSE()</f>
        <v>0</v>
      </c>
    </row>
    <row r="19" spans="1:21" ht="15" customHeight="1" x14ac:dyDescent="0.25">
      <c r="A19" s="11" t="s">
        <v>363</v>
      </c>
      <c r="B19" s="7">
        <v>46500</v>
      </c>
      <c r="C19" s="1" t="str">
        <f t="shared" si="0"/>
        <v>Friday</v>
      </c>
      <c r="D19" s="1" t="s">
        <v>364</v>
      </c>
      <c r="E19" s="1" t="s">
        <v>92</v>
      </c>
      <c r="F19" s="1" t="s">
        <v>135</v>
      </c>
      <c r="G19" s="2">
        <v>16</v>
      </c>
      <c r="H19" t="s">
        <v>296</v>
      </c>
      <c r="I19" t="s">
        <v>297</v>
      </c>
      <c r="J19" t="s">
        <v>298</v>
      </c>
      <c r="K19" t="s">
        <v>313</v>
      </c>
      <c r="M19" t="s">
        <v>92</v>
      </c>
      <c r="N19" t="s">
        <v>41</v>
      </c>
      <c r="O19" t="s">
        <v>29</v>
      </c>
      <c r="P19" t="s">
        <v>365</v>
      </c>
      <c r="Q19" s="8" t="s">
        <v>366</v>
      </c>
      <c r="R19" t="s">
        <v>367</v>
      </c>
      <c r="S19" t="s">
        <v>32</v>
      </c>
      <c r="T19" t="s">
        <v>33</v>
      </c>
      <c r="U19" t="b">
        <f>FALSE()</f>
        <v>0</v>
      </c>
    </row>
    <row r="20" spans="1:21" ht="30" customHeight="1" x14ac:dyDescent="0.25">
      <c r="A20" s="11" t="s">
        <v>368</v>
      </c>
      <c r="B20" s="7">
        <v>46505</v>
      </c>
      <c r="C20" s="1" t="str">
        <f t="shared" si="0"/>
        <v>Wednesday</v>
      </c>
      <c r="D20" s="1" t="s">
        <v>224</v>
      </c>
      <c r="E20" s="1" t="s">
        <v>52</v>
      </c>
      <c r="F20" s="1" t="s">
        <v>295</v>
      </c>
      <c r="G20" s="2">
        <v>6</v>
      </c>
      <c r="H20" t="s">
        <v>296</v>
      </c>
      <c r="I20" t="s">
        <v>297</v>
      </c>
      <c r="J20" t="s">
        <v>298</v>
      </c>
      <c r="K20" t="s">
        <v>299</v>
      </c>
      <c r="M20" t="s">
        <v>52</v>
      </c>
      <c r="N20" t="s">
        <v>41</v>
      </c>
      <c r="O20" t="s">
        <v>29</v>
      </c>
      <c r="Q20" s="10" t="s">
        <v>369</v>
      </c>
      <c r="R20" t="s">
        <v>301</v>
      </c>
      <c r="S20" t="s">
        <v>32</v>
      </c>
      <c r="T20" t="s">
        <v>33</v>
      </c>
      <c r="U20" t="b">
        <f>FALSE()</f>
        <v>0</v>
      </c>
    </row>
    <row r="21" spans="1:21" ht="30" customHeight="1" x14ac:dyDescent="0.25">
      <c r="A21" s="9" t="s">
        <v>370</v>
      </c>
      <c r="B21" s="7">
        <v>46506</v>
      </c>
      <c r="C21" s="1" t="str">
        <f t="shared" si="0"/>
        <v>Thursday</v>
      </c>
      <c r="D21" s="1" t="s">
        <v>91</v>
      </c>
      <c r="E21" s="1" t="s">
        <v>36</v>
      </c>
      <c r="F21" s="1" t="s">
        <v>37</v>
      </c>
      <c r="G21" s="2">
        <v>80</v>
      </c>
      <c r="H21" t="s">
        <v>296</v>
      </c>
      <c r="I21" t="s">
        <v>297</v>
      </c>
      <c r="J21" t="s">
        <v>303</v>
      </c>
      <c r="K21" t="s">
        <v>309</v>
      </c>
      <c r="M21" t="s">
        <v>36</v>
      </c>
      <c r="N21" t="s">
        <v>29</v>
      </c>
      <c r="O21" t="s">
        <v>41</v>
      </c>
      <c r="P21" t="s">
        <v>357</v>
      </c>
      <c r="Q21" s="8" t="s">
        <v>358</v>
      </c>
      <c r="R21" t="s">
        <v>359</v>
      </c>
      <c r="S21" t="s">
        <v>32</v>
      </c>
      <c r="T21" t="s">
        <v>33</v>
      </c>
      <c r="U21" t="b">
        <f>FALSE()</f>
        <v>0</v>
      </c>
    </row>
    <row r="22" spans="1:21" ht="30" customHeight="1" x14ac:dyDescent="0.25">
      <c r="A22" s="11" t="s">
        <v>110</v>
      </c>
      <c r="B22" s="7">
        <v>46507</v>
      </c>
      <c r="C22" s="1" t="str">
        <f t="shared" si="0"/>
        <v>Friday</v>
      </c>
      <c r="D22" s="1" t="s">
        <v>111</v>
      </c>
      <c r="E22" s="1" t="s">
        <v>46</v>
      </c>
      <c r="F22" s="1" t="s">
        <v>37</v>
      </c>
      <c r="G22" s="2">
        <v>80</v>
      </c>
      <c r="H22" t="s">
        <v>296</v>
      </c>
      <c r="I22" t="s">
        <v>297</v>
      </c>
      <c r="J22" t="s">
        <v>303</v>
      </c>
      <c r="K22" t="s">
        <v>318</v>
      </c>
      <c r="M22" t="s">
        <v>86</v>
      </c>
      <c r="N22" t="s">
        <v>41</v>
      </c>
      <c r="O22" t="s">
        <v>29</v>
      </c>
      <c r="P22" t="s">
        <v>112</v>
      </c>
      <c r="Q22" s="10" t="s">
        <v>371</v>
      </c>
      <c r="R22" t="s">
        <v>114</v>
      </c>
      <c r="S22" t="s">
        <v>32</v>
      </c>
      <c r="T22" t="s">
        <v>33</v>
      </c>
      <c r="U22" t="b">
        <f>FALSE()</f>
        <v>0</v>
      </c>
    </row>
    <row r="23" spans="1:21" ht="15" customHeight="1" x14ac:dyDescent="0.25">
      <c r="A23" s="11" t="s">
        <v>372</v>
      </c>
      <c r="B23" s="7">
        <v>46512</v>
      </c>
      <c r="C23" s="1" t="str">
        <f t="shared" si="0"/>
        <v>Wednesday</v>
      </c>
      <c r="D23" s="1" t="s">
        <v>373</v>
      </c>
      <c r="E23" s="1" t="s">
        <v>241</v>
      </c>
      <c r="F23" s="1" t="s">
        <v>37</v>
      </c>
      <c r="G23" s="2">
        <v>80</v>
      </c>
      <c r="H23" t="s">
        <v>296</v>
      </c>
      <c r="I23" t="s">
        <v>297</v>
      </c>
      <c r="J23" t="s">
        <v>308</v>
      </c>
      <c r="K23" t="s">
        <v>304</v>
      </c>
      <c r="L23" t="s">
        <v>336</v>
      </c>
      <c r="M23" t="s">
        <v>241</v>
      </c>
      <c r="N23" t="s">
        <v>41</v>
      </c>
      <c r="O23" t="s">
        <v>29</v>
      </c>
      <c r="Q23" s="10" t="s">
        <v>374</v>
      </c>
      <c r="R23" t="s">
        <v>338</v>
      </c>
      <c r="S23" t="s">
        <v>32</v>
      </c>
      <c r="T23" t="s">
        <v>33</v>
      </c>
      <c r="U23" t="b">
        <f>FALSE()</f>
        <v>0</v>
      </c>
    </row>
    <row r="24" spans="1:21" ht="30" customHeight="1" x14ac:dyDescent="0.25">
      <c r="A24" s="11" t="s">
        <v>375</v>
      </c>
      <c r="B24" s="7">
        <v>46512</v>
      </c>
      <c r="C24" s="1" t="str">
        <f t="shared" si="0"/>
        <v>Wednesday</v>
      </c>
      <c r="D24" s="1" t="s">
        <v>45</v>
      </c>
      <c r="E24" s="1" t="s">
        <v>46</v>
      </c>
      <c r="F24" s="1" t="s">
        <v>37</v>
      </c>
      <c r="G24" s="2">
        <v>80</v>
      </c>
      <c r="H24" t="s">
        <v>296</v>
      </c>
      <c r="I24" t="s">
        <v>297</v>
      </c>
      <c r="J24" t="s">
        <v>308</v>
      </c>
      <c r="K24" t="s">
        <v>318</v>
      </c>
      <c r="L24" t="s">
        <v>350</v>
      </c>
      <c r="M24" t="s">
        <v>46</v>
      </c>
      <c r="N24" t="s">
        <v>41</v>
      </c>
      <c r="O24" t="s">
        <v>29</v>
      </c>
      <c r="Q24" s="10" t="s">
        <v>376</v>
      </c>
      <c r="R24" t="s">
        <v>49</v>
      </c>
      <c r="S24" t="s">
        <v>32</v>
      </c>
      <c r="T24" t="s">
        <v>33</v>
      </c>
      <c r="U24" t="b">
        <f>FALSE()</f>
        <v>0</v>
      </c>
    </row>
    <row r="25" spans="1:21" ht="30" customHeight="1" x14ac:dyDescent="0.25">
      <c r="A25" s="11" t="s">
        <v>118</v>
      </c>
      <c r="B25" s="7">
        <v>46513</v>
      </c>
      <c r="C25" s="1" t="str">
        <f t="shared" si="0"/>
        <v>Thursday</v>
      </c>
      <c r="D25" s="1" t="s">
        <v>208</v>
      </c>
      <c r="E25" s="1" t="s">
        <v>36</v>
      </c>
      <c r="F25" s="1" t="s">
        <v>37</v>
      </c>
      <c r="G25" s="2">
        <v>80</v>
      </c>
      <c r="H25" t="s">
        <v>296</v>
      </c>
      <c r="I25" t="s">
        <v>297</v>
      </c>
      <c r="J25" t="s">
        <v>303</v>
      </c>
      <c r="K25" t="s">
        <v>309</v>
      </c>
      <c r="M25" t="s">
        <v>36</v>
      </c>
      <c r="N25" t="s">
        <v>41</v>
      </c>
      <c r="O25" t="s">
        <v>29</v>
      </c>
      <c r="Q25" s="10" t="s">
        <v>377</v>
      </c>
      <c r="R25" t="s">
        <v>120</v>
      </c>
      <c r="S25" t="s">
        <v>32</v>
      </c>
      <c r="T25" t="s">
        <v>33</v>
      </c>
      <c r="U25" t="b">
        <f>FALSE()</f>
        <v>0</v>
      </c>
    </row>
    <row r="26" spans="1:21" ht="30" customHeight="1" x14ac:dyDescent="0.25">
      <c r="A26" s="11" t="s">
        <v>378</v>
      </c>
      <c r="B26" s="7">
        <v>46518</v>
      </c>
      <c r="C26" s="1" t="str">
        <f t="shared" si="0"/>
        <v>Tuesday</v>
      </c>
      <c r="D26" s="1" t="s">
        <v>35</v>
      </c>
      <c r="E26" s="1" t="s">
        <v>92</v>
      </c>
      <c r="F26" s="1" t="s">
        <v>37</v>
      </c>
      <c r="G26" s="2">
        <v>80</v>
      </c>
      <c r="H26" t="s">
        <v>296</v>
      </c>
      <c r="I26" t="s">
        <v>297</v>
      </c>
      <c r="J26" t="s">
        <v>308</v>
      </c>
      <c r="K26" t="s">
        <v>313</v>
      </c>
      <c r="L26" t="s">
        <v>379</v>
      </c>
      <c r="M26" t="s">
        <v>92</v>
      </c>
      <c r="N26" t="s">
        <v>41</v>
      </c>
      <c r="O26" t="s">
        <v>29</v>
      </c>
      <c r="P26" t="s">
        <v>201</v>
      </c>
      <c r="Q26" s="10" t="s">
        <v>380</v>
      </c>
      <c r="R26" t="s">
        <v>203</v>
      </c>
      <c r="S26" t="s">
        <v>32</v>
      </c>
      <c r="T26" t="s">
        <v>33</v>
      </c>
      <c r="U26" t="b">
        <f>FALSE()</f>
        <v>0</v>
      </c>
    </row>
    <row r="27" spans="1:21" ht="30" customHeight="1" x14ac:dyDescent="0.25">
      <c r="A27" s="11" t="s">
        <v>381</v>
      </c>
      <c r="B27" s="7">
        <v>46519</v>
      </c>
      <c r="C27" s="1" t="str">
        <f t="shared" si="0"/>
        <v>Wednesday</v>
      </c>
      <c r="D27" s="1" t="s">
        <v>214</v>
      </c>
      <c r="E27" s="1" t="s">
        <v>128</v>
      </c>
      <c r="F27" s="1" t="s">
        <v>37</v>
      </c>
      <c r="G27" s="2">
        <v>80</v>
      </c>
      <c r="H27" t="s">
        <v>296</v>
      </c>
      <c r="I27" t="s">
        <v>297</v>
      </c>
      <c r="J27" t="s">
        <v>303</v>
      </c>
      <c r="K27" t="s">
        <v>304</v>
      </c>
      <c r="M27" t="s">
        <v>128</v>
      </c>
      <c r="N27" t="s">
        <v>29</v>
      </c>
      <c r="O27" t="s">
        <v>29</v>
      </c>
      <c r="P27" t="s">
        <v>215</v>
      </c>
      <c r="Q27" s="10" t="s">
        <v>382</v>
      </c>
      <c r="R27" t="s">
        <v>217</v>
      </c>
      <c r="S27" t="s">
        <v>32</v>
      </c>
      <c r="T27" t="s">
        <v>33</v>
      </c>
      <c r="U27" t="b">
        <f>FALSE()</f>
        <v>0</v>
      </c>
    </row>
    <row r="28" spans="1:21" ht="30" customHeight="1" x14ac:dyDescent="0.25">
      <c r="A28" s="11" t="s">
        <v>383</v>
      </c>
      <c r="B28" s="7">
        <v>46520</v>
      </c>
      <c r="C28" s="1" t="str">
        <f t="shared" si="0"/>
        <v>Thursday</v>
      </c>
      <c r="D28" s="1" t="s">
        <v>384</v>
      </c>
      <c r="E28" s="1" t="s">
        <v>99</v>
      </c>
      <c r="F28" s="1" t="s">
        <v>37</v>
      </c>
      <c r="G28" s="2">
        <v>80</v>
      </c>
      <c r="H28" t="s">
        <v>296</v>
      </c>
      <c r="I28" t="s">
        <v>297</v>
      </c>
      <c r="J28" t="s">
        <v>303</v>
      </c>
      <c r="K28" t="s">
        <v>309</v>
      </c>
      <c r="M28" t="s">
        <v>99</v>
      </c>
      <c r="N28" t="s">
        <v>29</v>
      </c>
      <c r="O28" t="s">
        <v>29</v>
      </c>
      <c r="Q28" s="10" t="s">
        <v>385</v>
      </c>
      <c r="R28" t="s">
        <v>386</v>
      </c>
      <c r="S28" t="s">
        <v>32</v>
      </c>
      <c r="T28" t="s">
        <v>33</v>
      </c>
      <c r="U28" t="b">
        <f>FALSE()</f>
        <v>0</v>
      </c>
    </row>
    <row r="29" spans="1:21" ht="30" customHeight="1" x14ac:dyDescent="0.25">
      <c r="A29" s="11" t="s">
        <v>387</v>
      </c>
      <c r="B29" s="7">
        <v>46525</v>
      </c>
      <c r="C29" s="1" t="str">
        <f t="shared" si="0"/>
        <v>Tuesday</v>
      </c>
      <c r="D29" s="1" t="s">
        <v>51</v>
      </c>
      <c r="E29" s="1" t="s">
        <v>52</v>
      </c>
      <c r="F29" s="1" t="s">
        <v>37</v>
      </c>
      <c r="G29" s="2">
        <v>80</v>
      </c>
      <c r="H29" t="s">
        <v>296</v>
      </c>
      <c r="I29" t="s">
        <v>297</v>
      </c>
      <c r="J29" t="s">
        <v>308</v>
      </c>
      <c r="K29" t="s">
        <v>299</v>
      </c>
      <c r="L29" t="s">
        <v>331</v>
      </c>
      <c r="M29" t="s">
        <v>52</v>
      </c>
      <c r="N29" t="s">
        <v>41</v>
      </c>
      <c r="O29" t="s">
        <v>29</v>
      </c>
      <c r="P29" t="s">
        <v>55</v>
      </c>
      <c r="Q29" s="10" t="s">
        <v>388</v>
      </c>
      <c r="R29" t="s">
        <v>389</v>
      </c>
      <c r="S29" t="s">
        <v>32</v>
      </c>
      <c r="T29" t="s">
        <v>33</v>
      </c>
      <c r="U29" t="b">
        <f>FALSE()</f>
        <v>0</v>
      </c>
    </row>
    <row r="30" spans="1:21" ht="27.75" customHeight="1" x14ac:dyDescent="0.25">
      <c r="A30" s="11" t="s">
        <v>133</v>
      </c>
      <c r="B30" s="7">
        <v>46526</v>
      </c>
      <c r="C30" s="1" t="str">
        <f t="shared" si="0"/>
        <v>Wednesday</v>
      </c>
      <c r="D30" s="1" t="s">
        <v>134</v>
      </c>
      <c r="E30" s="1" t="s">
        <v>46</v>
      </c>
      <c r="F30" s="1" t="s">
        <v>135</v>
      </c>
      <c r="G30" s="2">
        <v>16</v>
      </c>
      <c r="H30" t="s">
        <v>296</v>
      </c>
      <c r="I30" t="s">
        <v>297</v>
      </c>
      <c r="J30" t="s">
        <v>298</v>
      </c>
      <c r="K30" t="s">
        <v>318</v>
      </c>
      <c r="M30" t="s">
        <v>86</v>
      </c>
      <c r="N30" t="s">
        <v>41</v>
      </c>
      <c r="O30" t="s">
        <v>29</v>
      </c>
      <c r="P30" t="s">
        <v>136</v>
      </c>
      <c r="Q30" s="10" t="s">
        <v>390</v>
      </c>
      <c r="R30" t="s">
        <v>138</v>
      </c>
      <c r="S30" t="s">
        <v>32</v>
      </c>
      <c r="T30" t="s">
        <v>33</v>
      </c>
      <c r="U30" t="b">
        <f>FALSE()</f>
        <v>0</v>
      </c>
    </row>
    <row r="31" spans="1:21" ht="27.75" customHeight="1" x14ac:dyDescent="0.25">
      <c r="A31" s="9" t="s">
        <v>391</v>
      </c>
      <c r="B31" s="7">
        <v>46527</v>
      </c>
      <c r="C31" s="1" t="str">
        <f t="shared" si="0"/>
        <v>Thursday</v>
      </c>
      <c r="D31" s="1" t="s">
        <v>91</v>
      </c>
      <c r="E31" s="1" t="s">
        <v>36</v>
      </c>
      <c r="F31" s="1" t="s">
        <v>37</v>
      </c>
      <c r="G31" s="2">
        <v>80</v>
      </c>
      <c r="H31" t="s">
        <v>296</v>
      </c>
      <c r="I31" t="s">
        <v>297</v>
      </c>
      <c r="J31" t="s">
        <v>303</v>
      </c>
      <c r="K31" t="s">
        <v>309</v>
      </c>
      <c r="M31" t="s">
        <v>36</v>
      </c>
      <c r="N31" t="s">
        <v>29</v>
      </c>
      <c r="O31" t="s">
        <v>41</v>
      </c>
      <c r="P31" t="s">
        <v>357</v>
      </c>
      <c r="Q31" s="8" t="s">
        <v>358</v>
      </c>
      <c r="R31" t="s">
        <v>359</v>
      </c>
      <c r="S31" t="s">
        <v>32</v>
      </c>
      <c r="T31" t="s">
        <v>33</v>
      </c>
      <c r="U31" t="b">
        <f>FALSE()</f>
        <v>0</v>
      </c>
    </row>
    <row r="32" spans="1:21" ht="15" customHeight="1" x14ac:dyDescent="0.25">
      <c r="A32" s="11" t="s">
        <v>392</v>
      </c>
      <c r="B32" s="7">
        <v>46533</v>
      </c>
      <c r="C32" s="1" t="str">
        <f t="shared" si="0"/>
        <v>Wednesday</v>
      </c>
      <c r="D32" s="1" t="s">
        <v>178</v>
      </c>
      <c r="E32" s="1" t="s">
        <v>128</v>
      </c>
      <c r="F32" s="1" t="s">
        <v>179</v>
      </c>
      <c r="G32" s="2">
        <v>12</v>
      </c>
      <c r="H32" t="s">
        <v>296</v>
      </c>
      <c r="I32" t="s">
        <v>297</v>
      </c>
      <c r="J32" t="s">
        <v>298</v>
      </c>
      <c r="K32" t="s">
        <v>304</v>
      </c>
      <c r="M32" t="s">
        <v>128</v>
      </c>
      <c r="N32" t="s">
        <v>41</v>
      </c>
      <c r="O32" t="s">
        <v>29</v>
      </c>
      <c r="Q32" s="10" t="s">
        <v>393</v>
      </c>
      <c r="R32" t="s">
        <v>181</v>
      </c>
      <c r="S32" t="s">
        <v>32</v>
      </c>
      <c r="T32" t="s">
        <v>33</v>
      </c>
      <c r="U32" t="b">
        <f>FALSE()</f>
        <v>0</v>
      </c>
    </row>
    <row r="33" spans="1:21" ht="15" customHeight="1" x14ac:dyDescent="0.25">
      <c r="A33" s="9" t="s">
        <v>394</v>
      </c>
      <c r="B33" s="7">
        <v>46534</v>
      </c>
      <c r="C33" s="1" t="str">
        <f t="shared" si="0"/>
        <v>Thursday</v>
      </c>
      <c r="D33" s="1" t="s">
        <v>384</v>
      </c>
      <c r="E33" s="1" t="s">
        <v>99</v>
      </c>
      <c r="F33" s="1" t="s">
        <v>37</v>
      </c>
      <c r="G33" s="2">
        <v>80</v>
      </c>
      <c r="H33" t="s">
        <v>296</v>
      </c>
      <c r="I33" t="s">
        <v>297</v>
      </c>
      <c r="J33" t="s">
        <v>303</v>
      </c>
      <c r="K33" t="s">
        <v>309</v>
      </c>
      <c r="M33" t="s">
        <v>99</v>
      </c>
      <c r="N33" t="s">
        <v>29</v>
      </c>
      <c r="O33" t="s">
        <v>41</v>
      </c>
      <c r="Q33" s="8" t="s">
        <v>385</v>
      </c>
      <c r="S33" t="s">
        <v>32</v>
      </c>
      <c r="T33" t="s">
        <v>33</v>
      </c>
      <c r="U33" t="b">
        <f>FALSE()</f>
        <v>0</v>
      </c>
    </row>
  </sheetData>
  <dataValidations count="2">
    <dataValidation type="list" allowBlank="1" sqref="S2:S33" xr:uid="{00000000-0002-0000-0200-000000000000}">
      <formula1>"Regional,Local"</formula1>
      <formula2>0</formula2>
    </dataValidation>
    <dataValidation type="list" allowBlank="1" sqref="T2:T33" xr:uid="{00000000-0002-0000-0200-000001000000}">
      <formula1>"Website,External"</formula1>
      <formula2>0</formula2>
    </dataValidation>
  </dataValidations>
  <hyperlinks>
    <hyperlink ref="Q5" r:id="rId1" xr:uid="{00000000-0004-0000-0200-000000000000}"/>
    <hyperlink ref="Q19" r:id="rId2" xr:uid="{00000000-0004-0000-0200-000001000000}"/>
    <hyperlink ref="Q21" r:id="rId3" xr:uid="{00000000-0004-0000-0200-000002000000}"/>
    <hyperlink ref="Q31" r:id="rId4" xr:uid="{00000000-0004-0000-0200-000003000000}"/>
    <hyperlink ref="Q33" r:id="rId5" xr:uid="{00000000-0004-0000-0200-000004000000}"/>
  </hyperlinks>
  <pageMargins left="0.7" right="0.7" top="0.75" bottom="0.75" header="0.511811023622047" footer="0.511811023622047"/>
  <pageSetup paperSize="9" orientation="portrait" horizontalDpi="300" verticalDpi="300"/>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16"/>
  <sheetViews>
    <sheetView zoomScaleNormal="100" workbookViewId="0">
      <pane ySplit="1" topLeftCell="A2" activePane="bottomLeft" state="frozen"/>
      <selection pane="bottomLeft" activeCell="N10" sqref="N10"/>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11" t="s">
        <v>395</v>
      </c>
      <c r="B2" s="7">
        <v>46547</v>
      </c>
      <c r="C2" s="1" t="str">
        <f t="shared" ref="C2:C16" si="0">IF(B2="","",TEXT(B2,"dddd"))</f>
        <v>Wednesday</v>
      </c>
      <c r="D2" s="1" t="s">
        <v>98</v>
      </c>
      <c r="E2" s="1" t="s">
        <v>99</v>
      </c>
      <c r="F2" s="1" t="s">
        <v>37</v>
      </c>
      <c r="G2" s="2">
        <v>80</v>
      </c>
      <c r="H2" t="s">
        <v>396</v>
      </c>
      <c r="I2" t="s">
        <v>397</v>
      </c>
      <c r="J2" t="s">
        <v>398</v>
      </c>
      <c r="K2" t="s">
        <v>399</v>
      </c>
      <c r="L2" t="s">
        <v>400</v>
      </c>
      <c r="M2" t="s">
        <v>99</v>
      </c>
      <c r="N2" t="s">
        <v>41</v>
      </c>
      <c r="O2" t="s">
        <v>29</v>
      </c>
      <c r="P2" t="s">
        <v>101</v>
      </c>
      <c r="Q2" s="10" t="s">
        <v>401</v>
      </c>
      <c r="R2" t="s">
        <v>402</v>
      </c>
      <c r="S2" t="s">
        <v>32</v>
      </c>
      <c r="T2" t="s">
        <v>33</v>
      </c>
      <c r="U2" t="b">
        <f>FALSE()</f>
        <v>0</v>
      </c>
    </row>
    <row r="3" spans="1:21" ht="30" customHeight="1" x14ac:dyDescent="0.25">
      <c r="A3" s="11" t="s">
        <v>403</v>
      </c>
      <c r="B3" s="7">
        <v>46548</v>
      </c>
      <c r="C3" s="1" t="str">
        <f t="shared" si="0"/>
        <v>Thursday</v>
      </c>
      <c r="D3" s="1" t="s">
        <v>35</v>
      </c>
      <c r="E3" s="1" t="s">
        <v>36</v>
      </c>
      <c r="F3" s="1" t="s">
        <v>37</v>
      </c>
      <c r="G3" s="2">
        <v>80</v>
      </c>
      <c r="H3" t="s">
        <v>396</v>
      </c>
      <c r="I3" t="s">
        <v>397</v>
      </c>
      <c r="J3" t="s">
        <v>398</v>
      </c>
      <c r="K3" t="s">
        <v>404</v>
      </c>
      <c r="L3" t="s">
        <v>405</v>
      </c>
      <c r="M3" t="s">
        <v>36</v>
      </c>
      <c r="N3" t="s">
        <v>41</v>
      </c>
      <c r="O3" t="s">
        <v>29</v>
      </c>
      <c r="P3" t="s">
        <v>147</v>
      </c>
      <c r="Q3" s="10" t="s">
        <v>406</v>
      </c>
      <c r="R3" t="s">
        <v>149</v>
      </c>
      <c r="S3" t="s">
        <v>32</v>
      </c>
      <c r="T3" t="s">
        <v>33</v>
      </c>
      <c r="U3" t="b">
        <f>FALSE()</f>
        <v>0</v>
      </c>
    </row>
    <row r="4" spans="1:21" ht="30" customHeight="1" x14ac:dyDescent="0.25">
      <c r="A4" s="11" t="s">
        <v>407</v>
      </c>
      <c r="B4" s="7">
        <v>46552</v>
      </c>
      <c r="C4" s="1" t="str">
        <f t="shared" si="0"/>
        <v>Monday</v>
      </c>
      <c r="D4" s="1" t="s">
        <v>208</v>
      </c>
      <c r="E4" s="1" t="s">
        <v>46</v>
      </c>
      <c r="F4" s="1" t="s">
        <v>37</v>
      </c>
      <c r="G4" s="2">
        <v>80</v>
      </c>
      <c r="H4" t="s">
        <v>396</v>
      </c>
      <c r="I4" t="s">
        <v>397</v>
      </c>
      <c r="J4" t="s">
        <v>408</v>
      </c>
      <c r="K4" t="s">
        <v>399</v>
      </c>
      <c r="M4" t="s">
        <v>86</v>
      </c>
      <c r="N4" t="s">
        <v>41</v>
      </c>
      <c r="O4" t="s">
        <v>29</v>
      </c>
      <c r="P4" t="s">
        <v>210</v>
      </c>
      <c r="Q4" s="10" t="s">
        <v>409</v>
      </c>
      <c r="R4" t="s">
        <v>410</v>
      </c>
      <c r="S4" t="s">
        <v>32</v>
      </c>
      <c r="T4" t="s">
        <v>33</v>
      </c>
      <c r="U4" t="b">
        <f>FALSE()</f>
        <v>0</v>
      </c>
    </row>
    <row r="5" spans="1:21" ht="30" customHeight="1" x14ac:dyDescent="0.25">
      <c r="A5" s="11" t="s">
        <v>411</v>
      </c>
      <c r="B5" s="7">
        <v>46553</v>
      </c>
      <c r="C5" s="1" t="str">
        <f t="shared" si="0"/>
        <v>Tuesday</v>
      </c>
      <c r="D5" s="1" t="s">
        <v>105</v>
      </c>
      <c r="E5" s="1" t="s">
        <v>23</v>
      </c>
      <c r="F5" s="1" t="s">
        <v>37</v>
      </c>
      <c r="G5" s="2">
        <v>100</v>
      </c>
      <c r="H5" t="s">
        <v>396</v>
      </c>
      <c r="I5" t="s">
        <v>397</v>
      </c>
      <c r="J5" t="s">
        <v>398</v>
      </c>
      <c r="K5" t="s">
        <v>412</v>
      </c>
      <c r="L5" t="s">
        <v>413</v>
      </c>
      <c r="M5" t="s">
        <v>23</v>
      </c>
      <c r="N5" t="s">
        <v>41</v>
      </c>
      <c r="O5" t="s">
        <v>29</v>
      </c>
      <c r="Q5" s="10" t="s">
        <v>414</v>
      </c>
      <c r="R5" t="s">
        <v>293</v>
      </c>
      <c r="S5" t="s">
        <v>32</v>
      </c>
      <c r="T5" t="s">
        <v>33</v>
      </c>
      <c r="U5" t="b">
        <f>FALSE()</f>
        <v>0</v>
      </c>
    </row>
    <row r="6" spans="1:21" ht="15" customHeight="1" x14ac:dyDescent="0.25">
      <c r="A6" s="9" t="s">
        <v>415</v>
      </c>
      <c r="B6" s="7">
        <v>46554</v>
      </c>
      <c r="C6" s="1" t="str">
        <f t="shared" si="0"/>
        <v>Wednesday</v>
      </c>
      <c r="D6" s="1" t="s">
        <v>214</v>
      </c>
      <c r="E6" s="1" t="s">
        <v>128</v>
      </c>
      <c r="F6" s="1" t="s">
        <v>37</v>
      </c>
      <c r="G6" s="2">
        <v>80</v>
      </c>
      <c r="H6" t="s">
        <v>396</v>
      </c>
      <c r="I6" t="s">
        <v>397</v>
      </c>
      <c r="J6" t="s">
        <v>408</v>
      </c>
      <c r="K6" t="s">
        <v>399</v>
      </c>
      <c r="M6" t="s">
        <v>128</v>
      </c>
      <c r="N6" t="s">
        <v>29</v>
      </c>
      <c r="O6" t="s">
        <v>41</v>
      </c>
      <c r="P6" t="s">
        <v>215</v>
      </c>
      <c r="Q6" s="10" t="s">
        <v>382</v>
      </c>
      <c r="S6" t="s">
        <v>32</v>
      </c>
      <c r="T6" t="s">
        <v>33</v>
      </c>
      <c r="U6" t="b">
        <f>FALSE()</f>
        <v>0</v>
      </c>
    </row>
    <row r="7" spans="1:21" ht="30" customHeight="1" x14ac:dyDescent="0.25">
      <c r="A7" s="11" t="s">
        <v>416</v>
      </c>
      <c r="B7" s="7">
        <v>46561</v>
      </c>
      <c r="C7" s="1" t="str">
        <f t="shared" si="0"/>
        <v>Wednesday</v>
      </c>
      <c r="D7" s="1" t="s">
        <v>74</v>
      </c>
      <c r="E7" s="1" t="s">
        <v>75</v>
      </c>
      <c r="F7" s="1" t="s">
        <v>37</v>
      </c>
      <c r="G7" s="2">
        <v>80</v>
      </c>
      <c r="H7" t="s">
        <v>396</v>
      </c>
      <c r="I7" t="s">
        <v>397</v>
      </c>
      <c r="J7" t="s">
        <v>408</v>
      </c>
      <c r="K7" t="s">
        <v>399</v>
      </c>
      <c r="M7" t="s">
        <v>246</v>
      </c>
      <c r="N7" t="s">
        <v>29</v>
      </c>
      <c r="O7" t="s">
        <v>29</v>
      </c>
      <c r="P7" t="s">
        <v>247</v>
      </c>
      <c r="Q7" s="10" t="s">
        <v>417</v>
      </c>
      <c r="R7" t="s">
        <v>418</v>
      </c>
      <c r="S7" t="s">
        <v>32</v>
      </c>
      <c r="T7" t="s">
        <v>33</v>
      </c>
      <c r="U7" t="b">
        <f>FALSE()</f>
        <v>0</v>
      </c>
    </row>
    <row r="8" spans="1:21" ht="30" customHeight="1" x14ac:dyDescent="0.25">
      <c r="A8" s="11" t="s">
        <v>419</v>
      </c>
      <c r="B8" s="7">
        <v>46562</v>
      </c>
      <c r="C8" s="1" t="str">
        <f t="shared" si="0"/>
        <v>Thursday</v>
      </c>
      <c r="D8" s="1" t="s">
        <v>35</v>
      </c>
      <c r="E8" s="1" t="s">
        <v>128</v>
      </c>
      <c r="F8" s="1" t="s">
        <v>37</v>
      </c>
      <c r="G8" s="2">
        <v>80</v>
      </c>
      <c r="H8" t="s">
        <v>396</v>
      </c>
      <c r="I8" t="s">
        <v>397</v>
      </c>
      <c r="J8" t="s">
        <v>398</v>
      </c>
      <c r="K8" t="s">
        <v>399</v>
      </c>
      <c r="L8" t="s">
        <v>420</v>
      </c>
      <c r="M8" t="s">
        <v>128</v>
      </c>
      <c r="N8" t="s">
        <v>41</v>
      </c>
      <c r="O8" t="s">
        <v>29</v>
      </c>
      <c r="Q8" s="8" t="s">
        <v>421</v>
      </c>
      <c r="R8" t="s">
        <v>238</v>
      </c>
      <c r="S8" t="s">
        <v>32</v>
      </c>
      <c r="T8" t="s">
        <v>33</v>
      </c>
      <c r="U8" t="b">
        <f>FALSE()</f>
        <v>0</v>
      </c>
    </row>
    <row r="9" spans="1:21" ht="30" customHeight="1" x14ac:dyDescent="0.25">
      <c r="A9" s="11" t="s">
        <v>422</v>
      </c>
      <c r="B9" s="7">
        <v>46568</v>
      </c>
      <c r="C9" s="1" t="str">
        <f t="shared" si="0"/>
        <v>Wednesday</v>
      </c>
      <c r="D9" s="1" t="s">
        <v>45</v>
      </c>
      <c r="E9" s="1" t="s">
        <v>46</v>
      </c>
      <c r="F9" s="1" t="s">
        <v>37</v>
      </c>
      <c r="G9" s="2">
        <v>80</v>
      </c>
      <c r="H9" t="s">
        <v>396</v>
      </c>
      <c r="I9" t="s">
        <v>397</v>
      </c>
      <c r="J9" t="s">
        <v>398</v>
      </c>
      <c r="K9" t="s">
        <v>412</v>
      </c>
      <c r="L9" t="s">
        <v>423</v>
      </c>
      <c r="M9" t="s">
        <v>46</v>
      </c>
      <c r="N9" t="s">
        <v>41</v>
      </c>
      <c r="O9" t="s">
        <v>29</v>
      </c>
      <c r="Q9" s="10" t="s">
        <v>424</v>
      </c>
      <c r="R9" t="s">
        <v>49</v>
      </c>
      <c r="S9" t="s">
        <v>32</v>
      </c>
      <c r="T9" t="s">
        <v>33</v>
      </c>
      <c r="U9" t="b">
        <f>FALSE()</f>
        <v>0</v>
      </c>
    </row>
    <row r="10" spans="1:21" ht="30" customHeight="1" x14ac:dyDescent="0.25">
      <c r="A10" s="11" t="s">
        <v>425</v>
      </c>
      <c r="B10" s="7">
        <v>46569</v>
      </c>
      <c r="C10" s="1" t="str">
        <f t="shared" si="0"/>
        <v>Thursday</v>
      </c>
      <c r="D10" s="1" t="s">
        <v>373</v>
      </c>
      <c r="E10" s="1" t="s">
        <v>241</v>
      </c>
      <c r="F10" s="1" t="s">
        <v>37</v>
      </c>
      <c r="G10" s="2">
        <v>80</v>
      </c>
      <c r="H10" t="s">
        <v>396</v>
      </c>
      <c r="I10" t="s">
        <v>397</v>
      </c>
      <c r="J10" t="s">
        <v>398</v>
      </c>
      <c r="K10" t="s">
        <v>399</v>
      </c>
      <c r="L10" t="s">
        <v>426</v>
      </c>
      <c r="M10" t="s">
        <v>241</v>
      </c>
      <c r="N10" t="s">
        <v>41</v>
      </c>
      <c r="O10" t="s">
        <v>29</v>
      </c>
      <c r="Q10" s="10" t="s">
        <v>427</v>
      </c>
      <c r="R10" t="s">
        <v>338</v>
      </c>
      <c r="S10" t="s">
        <v>32</v>
      </c>
      <c r="T10" t="s">
        <v>33</v>
      </c>
      <c r="U10" t="b">
        <f>FALSE()</f>
        <v>0</v>
      </c>
    </row>
    <row r="11" spans="1:21" ht="30" customHeight="1" x14ac:dyDescent="0.25">
      <c r="A11" s="11" t="s">
        <v>428</v>
      </c>
      <c r="B11" s="7">
        <v>46570</v>
      </c>
      <c r="C11" s="1" t="str">
        <f t="shared" si="0"/>
        <v>Friday</v>
      </c>
      <c r="D11" s="1" t="s">
        <v>62</v>
      </c>
      <c r="E11" s="1" t="s">
        <v>63</v>
      </c>
      <c r="F11" s="1" t="s">
        <v>85</v>
      </c>
      <c r="G11" s="2">
        <v>16</v>
      </c>
      <c r="H11" t="s">
        <v>396</v>
      </c>
      <c r="I11" t="s">
        <v>397</v>
      </c>
      <c r="J11" t="s">
        <v>429</v>
      </c>
      <c r="K11" t="s">
        <v>412</v>
      </c>
      <c r="M11" t="s">
        <v>63</v>
      </c>
      <c r="N11" t="s">
        <v>41</v>
      </c>
      <c r="O11" t="s">
        <v>29</v>
      </c>
      <c r="P11" t="s">
        <v>112</v>
      </c>
      <c r="Q11" s="10" t="s">
        <v>430</v>
      </c>
      <c r="R11" t="s">
        <v>431</v>
      </c>
      <c r="S11" t="s">
        <v>32</v>
      </c>
      <c r="T11" t="s">
        <v>33</v>
      </c>
      <c r="U11" t="b">
        <f>FALSE()</f>
        <v>0</v>
      </c>
    </row>
    <row r="12" spans="1:21" ht="30" customHeight="1" x14ac:dyDescent="0.25">
      <c r="A12" s="9" t="s">
        <v>432</v>
      </c>
      <c r="B12" s="7">
        <v>46575</v>
      </c>
      <c r="C12" s="1" t="str">
        <f t="shared" si="0"/>
        <v>Wednesday</v>
      </c>
      <c r="D12" s="1" t="s">
        <v>74</v>
      </c>
      <c r="E12" s="1" t="s">
        <v>75</v>
      </c>
      <c r="F12" s="1" t="s">
        <v>37</v>
      </c>
      <c r="G12" s="2">
        <v>80</v>
      </c>
      <c r="H12" t="s">
        <v>396</v>
      </c>
      <c r="I12" t="s">
        <v>397</v>
      </c>
      <c r="J12" t="s">
        <v>408</v>
      </c>
      <c r="K12" t="s">
        <v>399</v>
      </c>
      <c r="M12" t="s">
        <v>246</v>
      </c>
      <c r="N12" t="s">
        <v>29</v>
      </c>
      <c r="O12" t="s">
        <v>41</v>
      </c>
      <c r="P12" t="s">
        <v>247</v>
      </c>
      <c r="Q12" s="10" t="s">
        <v>417</v>
      </c>
      <c r="S12" t="s">
        <v>32</v>
      </c>
      <c r="T12" t="s">
        <v>33</v>
      </c>
      <c r="U12" t="b">
        <f>FALSE()</f>
        <v>0</v>
      </c>
    </row>
    <row r="13" spans="1:21" ht="30" customHeight="1" x14ac:dyDescent="0.25">
      <c r="A13" s="9" t="s">
        <v>433</v>
      </c>
      <c r="B13" s="7">
        <v>46575</v>
      </c>
      <c r="C13" s="1" t="str">
        <f t="shared" si="0"/>
        <v>Wednesday</v>
      </c>
      <c r="D13" s="1" t="s">
        <v>214</v>
      </c>
      <c r="E13" s="1" t="s">
        <v>128</v>
      </c>
      <c r="F13" s="1" t="s">
        <v>37</v>
      </c>
      <c r="G13" s="2">
        <v>80</v>
      </c>
      <c r="H13" t="s">
        <v>396</v>
      </c>
      <c r="I13" t="s">
        <v>397</v>
      </c>
      <c r="J13" t="s">
        <v>408</v>
      </c>
      <c r="K13" t="s">
        <v>399</v>
      </c>
      <c r="M13" t="s">
        <v>128</v>
      </c>
      <c r="N13" t="s">
        <v>29</v>
      </c>
      <c r="O13" t="s">
        <v>41</v>
      </c>
      <c r="P13" t="s">
        <v>215</v>
      </c>
      <c r="Q13" s="10" t="s">
        <v>382</v>
      </c>
      <c r="S13" t="s">
        <v>32</v>
      </c>
      <c r="T13" t="s">
        <v>33</v>
      </c>
      <c r="U13" t="b">
        <f>FALSE()</f>
        <v>0</v>
      </c>
    </row>
    <row r="14" spans="1:21" ht="30" customHeight="1" x14ac:dyDescent="0.25">
      <c r="A14" s="11" t="s">
        <v>204</v>
      </c>
      <c r="B14" s="7">
        <v>46576</v>
      </c>
      <c r="C14" s="1" t="str">
        <f t="shared" si="0"/>
        <v>Thursday</v>
      </c>
      <c r="D14" s="1" t="s">
        <v>91</v>
      </c>
      <c r="E14" s="1" t="s">
        <v>46</v>
      </c>
      <c r="F14" s="1" t="s">
        <v>37</v>
      </c>
      <c r="G14" s="2">
        <v>80</v>
      </c>
      <c r="H14" t="s">
        <v>396</v>
      </c>
      <c r="I14" t="s">
        <v>397</v>
      </c>
      <c r="J14" t="s">
        <v>408</v>
      </c>
      <c r="K14" t="s">
        <v>412</v>
      </c>
      <c r="M14" t="s">
        <v>86</v>
      </c>
      <c r="N14" t="s">
        <v>41</v>
      </c>
      <c r="O14" t="s">
        <v>29</v>
      </c>
      <c r="P14" t="s">
        <v>112</v>
      </c>
      <c r="Q14" s="10" t="s">
        <v>434</v>
      </c>
      <c r="R14" t="s">
        <v>206</v>
      </c>
      <c r="S14" t="s">
        <v>32</v>
      </c>
      <c r="T14" t="s">
        <v>33</v>
      </c>
      <c r="U14" t="b">
        <f>FALSE()</f>
        <v>0</v>
      </c>
    </row>
    <row r="15" spans="1:21" ht="30" customHeight="1" x14ac:dyDescent="0.25">
      <c r="A15" s="9" t="s">
        <v>435</v>
      </c>
      <c r="B15" s="7">
        <v>46589</v>
      </c>
      <c r="C15" s="1" t="str">
        <f t="shared" si="0"/>
        <v>Wednesday</v>
      </c>
      <c r="D15" s="1" t="s">
        <v>74</v>
      </c>
      <c r="E15" s="1" t="s">
        <v>75</v>
      </c>
      <c r="F15" s="1" t="s">
        <v>37</v>
      </c>
      <c r="G15" s="2">
        <v>80</v>
      </c>
      <c r="H15" t="s">
        <v>396</v>
      </c>
      <c r="I15" t="s">
        <v>397</v>
      </c>
      <c r="J15" t="s">
        <v>408</v>
      </c>
      <c r="K15" t="s">
        <v>399</v>
      </c>
      <c r="M15" t="s">
        <v>246</v>
      </c>
      <c r="N15" t="s">
        <v>29</v>
      </c>
      <c r="O15" t="s">
        <v>41</v>
      </c>
      <c r="P15" t="s">
        <v>247</v>
      </c>
      <c r="Q15" s="10" t="s">
        <v>417</v>
      </c>
      <c r="S15" t="s">
        <v>32</v>
      </c>
      <c r="T15" t="s">
        <v>33</v>
      </c>
      <c r="U15" t="b">
        <f>FALSE()</f>
        <v>0</v>
      </c>
    </row>
    <row r="16" spans="1:21" ht="15" customHeight="1" x14ac:dyDescent="0.25">
      <c r="A16" s="11" t="s">
        <v>436</v>
      </c>
      <c r="B16" s="7">
        <v>46612</v>
      </c>
      <c r="C16" s="1" t="str">
        <f t="shared" si="0"/>
        <v>Friday</v>
      </c>
      <c r="D16" s="1" t="s">
        <v>183</v>
      </c>
      <c r="E16" s="1" t="s">
        <v>106</v>
      </c>
      <c r="F16" s="1" t="s">
        <v>37</v>
      </c>
      <c r="G16" s="2">
        <v>80</v>
      </c>
      <c r="H16" t="s">
        <v>396</v>
      </c>
      <c r="I16" t="s">
        <v>397</v>
      </c>
      <c r="J16" t="s">
        <v>398</v>
      </c>
      <c r="K16" t="s">
        <v>399</v>
      </c>
      <c r="L16" t="s">
        <v>437</v>
      </c>
      <c r="M16" t="s">
        <v>75</v>
      </c>
      <c r="N16" t="s">
        <v>41</v>
      </c>
      <c r="O16" t="s">
        <v>29</v>
      </c>
      <c r="P16" t="s">
        <v>438</v>
      </c>
      <c r="Q16" s="10" t="s">
        <v>439</v>
      </c>
      <c r="R16" t="s">
        <v>440</v>
      </c>
      <c r="S16" t="s">
        <v>32</v>
      </c>
      <c r="T16" t="s">
        <v>33</v>
      </c>
      <c r="U16" t="b">
        <f>FALSE()</f>
        <v>0</v>
      </c>
    </row>
  </sheetData>
  <dataValidations count="2">
    <dataValidation type="list" allowBlank="1" sqref="S2:S16" xr:uid="{00000000-0002-0000-0300-000000000000}">
      <formula1>"Regional,Local"</formula1>
      <formula2>0</formula2>
    </dataValidation>
    <dataValidation type="list" allowBlank="1" sqref="T2:T16" xr:uid="{00000000-0002-0000-0300-000001000000}">
      <formula1>"Website,External"</formula1>
      <formula2>0</formula2>
    </dataValidation>
  </dataValidations>
  <hyperlinks>
    <hyperlink ref="Q8" r:id="rId1" xr:uid="{00000000-0004-0000-0300-000000000000}"/>
  </hyperlinks>
  <pageMargins left="0.7" right="0.7" top="0.75" bottom="0.75" header="0.511811023622047" footer="0.511811023622047"/>
  <pageSetup paperSize="9" orientation="portrait" horizontalDpi="300" verticalDpi="300"/>
  <tableParts count="1">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RP1</vt:lpstr>
      <vt:lpstr>RP2</vt:lpstr>
      <vt:lpstr>RP3</vt:lpstr>
      <vt:lpstr>RP4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Ali Maggs</dc:creator>
  <dc:description/>
  <cp:lastModifiedBy>Ali Maggs</cp:lastModifiedBy>
  <cp:revision>0</cp:revision>
  <dcterms:created xsi:type="dcterms:W3CDTF">2025-04-29T10:11:20Z</dcterms:created>
  <dcterms:modified xsi:type="dcterms:W3CDTF">2026-08-31T12:17:24Z</dcterms:modified>
  <dc:language>en-US</dc:language>
</cp:coreProperties>
</file>