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P1" sheetId="1" state="visible" r:id="rId3"/>
    <sheet name="RP2" sheetId="2" state="visible" r:id="rId4"/>
    <sheet name="RP3" sheetId="3" state="visible" r:id="rId5"/>
    <sheet name="RP4"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<sst xmlns="http://schemas.openxmlformats.org/spreadsheetml/2006/main" count="2049" uniqueCount="492">
  <si>
    <t xml:space="preserve">Event Name</t>
  </si>
  <si>
    <t xml:space="preserve">Activity Date</t>
  </si>
  <si>
    <t xml:space="preserve">Day of Week</t>
  </si>
  <si>
    <t xml:space="preserve">Time</t>
  </si>
  <si>
    <t xml:space="preserve">Brochure Category</t>
  </si>
  <si>
    <t xml:space="preserve">Location</t>
  </si>
  <si>
    <t xml:space="preserve">Number of Tickets</t>
  </si>
  <si>
    <t xml:space="preserve">Period Registered</t>
  </si>
  <si>
    <t xml:space="preserve">Period Attended</t>
  </si>
  <si>
    <t xml:space="preserve">Activity Type</t>
  </si>
  <si>
    <t xml:space="preserve">Professional Development Category</t>
  </si>
  <si>
    <t xml:space="preserve">Network</t>
  </si>
  <si>
    <t xml:space="preserve">Mailing List Subscriptions</t>
  </si>
  <si>
    <t xml:space="preserve">CPD Bundle for Survey</t>
  </si>
  <si>
    <t xml:space="preserve">Workflows Configured</t>
  </si>
  <si>
    <t xml:space="preserve">Notes</t>
  </si>
  <si>
    <t xml:space="preserve">Website URL</t>
  </si>
  <si>
    <t xml:space="preserve">Short Description</t>
  </si>
  <si>
    <t xml:space="preserve">Regional/Local</t>
  </si>
  <si>
    <t xml:space="preserve">Registration</t>
  </si>
  <si>
    <t xml:space="preserve">Processed for Reports</t>
  </si>
  <si>
    <t xml:space="preserve">Autumn Outdoor Learning Morning for Childminders and Children</t>
  </si>
  <si>
    <t xml:space="preserve">10:00 am - 12:00 pm</t>
  </si>
  <si>
    <t xml:space="preserve">Childminders</t>
  </si>
  <si>
    <t xml:space="preserve">TBC</t>
  </si>
  <si>
    <t xml:space="preserve">Registered Events RP1-26-27</t>
  </si>
  <si>
    <t xml:space="preserve">Attended Events RP1-26-27</t>
  </si>
  <si>
    <t xml:space="preserve">AT Event RP1-26-27</t>
  </si>
  <si>
    <t xml:space="preserve">PD Other RP1-26-27</t>
  </si>
  <si>
    <t xml:space="preserve">No</t>
  </si>
  <si>
    <t xml:space="preserve">Yes</t>
  </si>
  <si>
    <t xml:space="preserve">https://beyth.co.uk/course/autumn-outdoor-learning-morning-for-childminders-and-children/</t>
  </si>
  <si>
    <t xml:space="preserve">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</si>
  <si>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 xml:space="preserve">Regional</t>
  </si>
  <si>
    <t xml:space="preserve">Website</t>
  </si>
  <si>
    <t xml:space="preserve">Using Visuals to Support Speech, Language and Communication (SALT Network Session)</t>
  </si>
  <si>
    <t xml:space="preserve">4:00 pm - 5:30 pm</t>
  </si>
  <si>
    <t xml:space="preserve">Communication, Language and Literacy</t>
  </si>
  <si>
    <t xml:space="preserve">Online</t>
  </si>
  <si>
    <t xml:space="preserve">AT Network RP1-26-27</t>
  </si>
  <si>
    <t xml:space="preserve">PD Communication and Language RP1-26-27</t>
  </si>
  <si>
    <t xml:space="preserve">NW Communication, Language and Literacy RP1-26-27</t>
  </si>
  <si>
    <t xml:space="preserve">https://beyth.co.uk/course/using-visuals-to-support-speech-language-and-communication-salt-network-session/</t>
  </si>
  <si>
    <t xml:space="preserve">Explore how visual supports can enhance understanding, communication and independence across everyday activities and routines, providing predictable, accessible ways to share information and reduce communication barriers.</t>
  </si>
  <si>
    <t xml:space="preserve">Leadership Matters Network (October 2026)</t>
  </si>
  <si>
    <t xml:space="preserve">2:00 pm - 3:30 pm</t>
  </si>
  <si>
    <t xml:space="preserve">Leadership and Staff Development</t>
  </si>
  <si>
    <t xml:space="preserve">NW Leadership and Staff Development RP1-26-27</t>
  </si>
  <si>
    <t xml:space="preserve">https://beyth.co.uk/course/leadership-matters-network-october-2026/</t>
  </si>
  <si>
    <t xml:space="preserve">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</si>
  <si>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 xml:space="preserve">SEND Network: Understanding Autism in the Early Years</t>
  </si>
  <si>
    <t xml:space="preserve">6:00 pm - 7:30 pm</t>
  </si>
  <si>
    <t xml:space="preserve">SEND</t>
  </si>
  <si>
    <t xml:space="preserve">PD SEND RP1-26-27</t>
  </si>
  <si>
    <t xml:space="preserve">NW SEND RP1-26-27</t>
  </si>
  <si>
    <t xml:space="preserve">Presenter: Ruth Glover (Springboard).</t>
  </si>
  <si>
    <t xml:space="preserve">https://beyth.co.uk/course/send-network-understanding-autism-in-the-early-years/</t>
  </si>
  <si>
    <t xml:space="preserve">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</si>
  <si>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 xml:space="preserve">Bristol Baby Practitioner Clusters - October 2026</t>
  </si>
  <si>
    <t xml:space="preserve">6:15 pm - 7:45 pm</t>
  </si>
  <si>
    <t xml:space="preserve">Local</t>
  </si>
  <si>
    <t xml:space="preserve">Partou Little Big Steps</t>
  </si>
  <si>
    <t xml:space="preserve">NW Working with Babies RP1-26-27</t>
  </si>
  <si>
    <t xml:space="preserve">Working with Babies</t>
  </si>
  <si>
    <t xml:space="preserve">Hosted by Partou Little Big Steps. Facilitators: Bev Roberts (Manager), Amber O'Connor (Under Two's Unit Leader).</t>
  </si>
  <si>
    <t xml:space="preserve">https://calendar.bristolearlyyears.org.uk/</t>
  </si>
  <si>
    <t xml:space="preserve">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</si>
  <si>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 xml:space="preserve">External</t>
  </si>
  <si>
    <t xml:space="preserve">October Outdoor Learning Morning for Childminders and Children</t>
  </si>
  <si>
    <t xml:space="preserve">Broadmoor Lane Orchard Park. Bath</t>
  </si>
  <si>
    <t xml:space="preserve">https://beyth.co.uk/course/october-outdoor-learning-morning-for-childminders-and-children/</t>
  </si>
  <si>
    <t xml:space="preserve">New to EYFS – Strengthening Early Years Teaching</t>
  </si>
  <si>
    <t xml:space="preserve">9:30 am - 4:00 pm</t>
  </si>
  <si>
    <t xml:space="preserve">EYFS Learning Community</t>
  </si>
  <si>
    <t xml:space="preserve">AT Webinar RP1-26-27</t>
  </si>
  <si>
    <t xml:space="preserve">Presenter: Anna Morgan.</t>
  </si>
  <si>
    <t xml:space="preserve">https://beyth.co.uk/course/new-to-eyfs-strengthening-early-years-teaching-oct-26/</t>
  </si>
  <si>
    <t xml:space="preserve">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</si>
  <si>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Childminder Network: Running a Sustainable Childminding Business</t>
  </si>
  <si>
    <t xml:space="preserve">6:30 pm - 8:00 pm</t>
  </si>
  <si>
    <t xml:space="preserve">NW Childminders RP1-26-27</t>
  </si>
  <si>
    <t xml:space="preserve">https://beyth.co.uk/course/childminder-network-running-a-sustainable-childminding-business/</t>
  </si>
  <si>
    <t xml:space="preserve">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</si>
  <si>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 xml:space="preserve">Talking With Babies</t>
  </si>
  <si>
    <t xml:space="preserve">6:15 pm - 8:15 pm</t>
  </si>
  <si>
    <t xml:space="preserve">https://beyth.co.uk/course/talking-with-babies-oct-2026/</t>
  </si>
  <si>
    <t xml:space="preserve">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</si>
  <si>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 xml:space="preserve">Bristol Twos Network - October 2026</t>
  </si>
  <si>
    <t xml:space="preserve">4:00 pm - 6:00 pm</t>
  </si>
  <si>
    <t xml:space="preserve">Hartcliffe Nursery School</t>
  </si>
  <si>
    <t xml:space="preserve">NW Spotlight on Twos RP1-26-27</t>
  </si>
  <si>
    <t xml:space="preserve">Spotlight on Twos</t>
  </si>
  <si>
    <t xml:space="preserve">Hosted by Hartcliffe Nursery School. Facilitated by local specialist leaders for birth to three years, Millie Colwey and Megan Day.</t>
  </si>
  <si>
    <t xml:space="preserve">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</si>
  <si>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 xml:space="preserve">How Can a Playful Pedagogy Work Within a Home-Based Childcare Setting? With Michelle Malamo</t>
  </si>
  <si>
    <t xml:space="preserve">PD PSED RP1-26-27</t>
  </si>
  <si>
    <t xml:space="preserve">Presenter: Michelle Malamo. Can record.</t>
  </si>
  <si>
    <t xml:space="preserve">https://beyth.co.uk/course/how-can-a-playful-pedagogy-work-within-a-home-based-childcare-setting-with-michelle-malamo/</t>
  </si>
  <si>
    <t xml:space="preserve">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</si>
  <si>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 xml:space="preserve">CPD Programme: Using Evidence to Strengthen Your Early Years Leadership - Session 1</t>
  </si>
  <si>
    <t xml:space="preserve">9:00 am - 12:00 pm</t>
  </si>
  <si>
    <t xml:space="preserve">St Pauls Nursery Community Room</t>
  </si>
  <si>
    <t xml:space="preserve">Leadership</t>
  </si>
  <si>
    <t xml:space="preserve">Presenters: Tom Colquhoun and Lucy Driver. Delivered in collaboration with the Somerset Research School.</t>
  </si>
  <si>
    <t xml:space="preserve">https://beyth.co.uk/course/cpd-programme-using-evidence-to-strengthen-your-early-years-leadership-2026/</t>
  </si>
  <si>
    <t xml:space="preserve">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</si>
  <si>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 xml:space="preserve">Mathematising the Day</t>
  </si>
  <si>
    <t xml:space="preserve">Maths</t>
  </si>
  <si>
    <t xml:space="preserve">PD Mathematics RP1-26-27</t>
  </si>
  <si>
    <t xml:space="preserve">Presenter: Maeve Dorrian. Session can be recorded.</t>
  </si>
  <si>
    <t xml:space="preserve">https://beyth.co.uk/course/mathematising-the-day-october-2026/</t>
  </si>
  <si>
    <t xml:space="preserve">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</si>
  <si>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 xml:space="preserve">Talking About Twos: Meaningful Two-Year Progress Checks</t>
  </si>
  <si>
    <t xml:space="preserve">3:30 pm - 4:45 pm</t>
  </si>
  <si>
    <t xml:space="preserve">Presenter: TBC</t>
  </si>
  <si>
    <t xml:space="preserve">https://beyth.co.uk/course/talking-about-twos-meaningful-two-year-progress-checks/</t>
  </si>
  <si>
    <t xml:space="preserve">Explore how to make the two-year progress check a meaningful, child-centred process — celebrating children's strengths, identifying support needs, and working in partnership with families and other professionals to ensure the right support at the right time.</t>
  </si>
  <si>
    <t xml:space="preserve">Live Panel Webinar: Inside the Baby Room: Insights from the Babies in Mind Project</t>
  </si>
  <si>
    <t xml:space="preserve">7:00 pm - 8:00 pm</t>
  </si>
  <si>
    <t xml:space="preserve">Working With Babies</t>
  </si>
  <si>
    <t xml:space="preserve">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</si>
  <si>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 xml:space="preserve">https://beyth.co.uk/course/live-panel-webinar-inside-the-baby-room/</t>
  </si>
  <si>
    <t xml:space="preserve">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</si>
  <si>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 xml:space="preserve">Developing an Early Years Curriculum – Strengthening Early Years Teaching</t>
  </si>
  <si>
    <t xml:space="preserve">9:30 am - 11:30 am</t>
  </si>
  <si>
    <t xml:space="preserve">Presenter: Ali Carrington.</t>
  </si>
  <si>
    <t xml:space="preserve">https://beyth.co.uk/course/developing-an-early-years-curriculum-oct-26/</t>
  </si>
  <si>
    <t xml:space="preserve">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</si>
  <si>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 xml:space="preserve">Bristol Baby Practitioner Clusters - November 2026</t>
  </si>
  <si>
    <t xml:space="preserve">4:30 pm - 6:00 pm</t>
  </si>
  <si>
    <t xml:space="preserve">EveryFAMILY</t>
  </si>
  <si>
    <t xml:space="preserve">Hosted by EveryFAMILY. Facilitator: Nic.</t>
  </si>
  <si>
    <t xml:space="preserve">CPD Programme: Getting it Right for Twos - Session 1</t>
  </si>
  <si>
    <t xml:space="preserve">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</si>
  <si>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</si>
  <si>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 xml:space="preserve">Quality Interactions</t>
  </si>
  <si>
    <t xml:space="preserve">https://beyth.co.uk/course/quality-interactions-november-2026/</t>
  </si>
  <si>
    <t xml:space="preserve">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</si>
  <si>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 xml:space="preserve">Mathematising the Day – Open Study Morning at Hartcliffe Nursery School</t>
  </si>
  <si>
    <t xml:space="preserve">8:00 am - 12:30 pm</t>
  </si>
  <si>
    <t xml:space="preserve">Presenter: Maeve Dorrian.</t>
  </si>
  <si>
    <t xml:space="preserve">https://beyth.co.uk/course/mathematising-the-day-study-morning-hartcliffe-nursery/</t>
  </si>
  <si>
    <t xml:space="preserve">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</si>
  <si>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 xml:space="preserve">PSED Network - November 2026 (Belonging and Transitions)</t>
  </si>
  <si>
    <t xml:space="preserve">PSED</t>
  </si>
  <si>
    <t xml:space="preserve">NW PSED RP1-26-27</t>
  </si>
  <si>
    <t xml:space="preserve">https://beyth.co.uk/course/psed-network-november-2026/</t>
  </si>
  <si>
    <t xml:space="preserve">Join our PSED Learning Lead and the Bristol PSED team for a network session on Belonging and Transitions, combining teaching time, shared practice and discussion, and action planning to leave you with ideas and tools you can use straight away.</t>
  </si>
  <si>
    <t xml:space="preserve">CPD Programme: Using Evidence to Strengthen Your Early Years Leadership - Session 2</t>
  </si>
  <si>
    <t xml:space="preserve">Exploring an Early Years Curriculum: Open Study Day at St Pauls Nursery</t>
  </si>
  <si>
    <t xml:space="preserve">9:00 am - 3:00 pm</t>
  </si>
  <si>
    <t xml:space="preserve">Community Room</t>
  </si>
  <si>
    <t xml:space="preserve">Presenter: Robin Taylor.</t>
  </si>
  <si>
    <t xml:space="preserve">https://beyth.co.uk/course/open-study-day-at-st-pauls-nursery-nov-26/</t>
  </si>
  <si>
    <t xml:space="preserve">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</si>
  <si>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 xml:space="preserve">Somerset Baby Practitioner Network Meeting - November 2026</t>
  </si>
  <si>
    <t xml:space="preserve">6:15 pm - 7:30 pm</t>
  </si>
  <si>
    <t xml:space="preserve">https://beyth.co.uk/course/somerset-baby-practitioner-network-meeting-november-2026/</t>
  </si>
  <si>
    <t xml:space="preserve">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</si>
  <si>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 xml:space="preserve">CPD Programme: Getting it Right for Twos - Session 2</t>
  </si>
  <si>
    <t xml:space="preserve">Communication and Language Network - November 2026</t>
  </si>
  <si>
    <t xml:space="preserve">Facilitated by our Language Leads.</t>
  </si>
  <si>
    <t xml:space="preserve">https://beyth.co.uk/course/communication-and-language-network-november-2026/</t>
  </si>
  <si>
    <t xml:space="preserve">An informal online networking session for early years practitioners to come together, share experiences and explore key topics related to communication and language, with each session offering a space for discussion, reflection and peer support.</t>
  </si>
  <si>
    <t xml:space="preserve">Emotion Coaching to Support Regulation</t>
  </si>
  <si>
    <t xml:space="preserve">Presenter: Rachel Stoyall</t>
  </si>
  <si>
    <t xml:space="preserve">https://beyth.co.uk/course/emotion-coaching-to-support-self-regulation/</t>
  </si>
  <si>
    <t xml:space="preserve">Explore Emotion Coaching as a strategy for supporting children's behaviour and self-regulation, with practical tools for Early Years practitioners and childminders to help children understand and manage their emotions.</t>
  </si>
  <si>
    <t xml:space="preserve">Interactive Writing</t>
  </si>
  <si>
    <t xml:space="preserve">PD Early Literacy RP1-26-27</t>
  </si>
  <si>
    <t xml:space="preserve">https://beyth.co.uk/course/interactive-writing-nov-26/</t>
  </si>
  <si>
    <t xml:space="preserve">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</si>
  <si>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 xml:space="preserve">SEND Network: Looking Beyond Behaviour: Understanding Children's Needs in the Early Years</t>
  </si>
  <si>
    <t xml:space="preserve">https://beyth.co.uk/course/send-network-looking-beyond-behaviour-understanding-childrens-needs-in-the-early-years/</t>
  </si>
  <si>
    <t xml:space="preserve">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</si>
  <si>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 xml:space="preserve">Childminder Network: Leading a Team</t>
  </si>
  <si>
    <t xml:space="preserve">Registered Events RP2-26-27</t>
  </si>
  <si>
    <t xml:space="preserve">Attended Events RP2-26-27</t>
  </si>
  <si>
    <t xml:space="preserve">AT Network RP2-26-27</t>
  </si>
  <si>
    <t xml:space="preserve">PD Other RP2-26-27</t>
  </si>
  <si>
    <t xml:space="preserve">NW Childminders RP2-26-27</t>
  </si>
  <si>
    <t xml:space="preserve">https://beyth.co.uk/course/childminder-network-leading-a-team/</t>
  </si>
  <si>
    <t xml:space="preserve">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</si>
  <si>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 xml:space="preserve">CPD Programme: Using Evidence to Strengthen Your Early Years Leadership - Session 3</t>
  </si>
  <si>
    <t xml:space="preserve">AT Event RP2-26-27</t>
  </si>
  <si>
    <t xml:space="preserve">Bristol Baby Practitioner Clusters - December 2026</t>
  </si>
  <si>
    <t xml:space="preserve">St Paul's Nursery School &amp; Children's Centre</t>
  </si>
  <si>
    <t xml:space="preserve">NW Working with Babies RP2-26-27</t>
  </si>
  <si>
    <t xml:space="preserve">Hosted by St Paul's Nursery School &amp; Children's Centre. Facilitators: Robin Taylor (Executive Head), Tiff Henley (Birth to Two's Lead).</t>
  </si>
  <si>
    <t xml:space="preserve">Leadership Matters Network (December 2026)</t>
  </si>
  <si>
    <t xml:space="preserve">NW Leadership and Staff Development RP2-26-27</t>
  </si>
  <si>
    <t xml:space="preserve">https://beyth.co.uk/course/leadership-matters-network-december-2026/</t>
  </si>
  <si>
    <t xml:space="preserve">CPD Programme: Getting it Right for Twos - Session 3</t>
  </si>
  <si>
    <t xml:space="preserve">AT Webinar RP2-26-27</t>
  </si>
  <si>
    <t xml:space="preserve">PD PSED RP2-26-27</t>
  </si>
  <si>
    <t xml:space="preserve">Trauma Informed Practice Study Morning at Knowle West Nursery - December 2026</t>
  </si>
  <si>
    <t xml:space="preserve">9:30 am - 12:30 pm</t>
  </si>
  <si>
    <t xml:space="preserve">Knowle West Nursery</t>
  </si>
  <si>
    <t xml:space="preserve">https://beyth.co.uk/course/trauma-informed-practice-study-morning-at-knowle-west-nursery-december-2026/</t>
  </si>
  <si>
    <t xml:space="preserve">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</si>
  <si>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 xml:space="preserve">Talking About Babies: Talking to Parents and Carers</t>
  </si>
  <si>
    <t xml:space="preserve">9:30 am - 10:45 am</t>
  </si>
  <si>
    <t xml:space="preserve">https://beyth.co.uk/course/talking-about-babies-talking-to-parents-and-carers/</t>
  </si>
  <si>
    <t xml:space="preserve">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</si>
  <si>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 xml:space="preserve">Supporting Language Development Through Book Sharing (SALT Network Session)</t>
  </si>
  <si>
    <t xml:space="preserve">PD Communication and Language RP2-26-27</t>
  </si>
  <si>
    <t xml:space="preserve">NW Communication, Language and Literacy RP2-26-27</t>
  </si>
  <si>
    <t xml:space="preserve">https://beyth.co.uk/course/supporting-language-development-through-book-sharing-salt-network-session/</t>
  </si>
  <si>
    <t xml:space="preserve">Explore how shared book experiences can promote language development and meaningful interactions, with practical strategies to make book sharing engaging, responsive and accessible — supporting attention, turn-taking, vocabulary and connection.</t>
  </si>
  <si>
    <t xml:space="preserve">My Home as a Playground with Helen Battelley: Supporting Movement Play and Physical Development in Childminding Settings</t>
  </si>
  <si>
    <t xml:space="preserve">Physical Development</t>
  </si>
  <si>
    <t xml:space="preserve">PD Physical Development RP2-26-27</t>
  </si>
  <si>
    <t xml:space="preserve">Presenter: Helen Battelley. Session can be recorded.</t>
  </si>
  <si>
    <t xml:space="preserve">https://beyth.co.uk/course/my-home-as-a-playground-helen-battelley/</t>
  </si>
  <si>
    <t xml:space="preserve">Explore how childminders can transform ordinary home environments into rich movement spaces that support children's physical development, confidence, wellbeing and learning, drawing on current research in this practical, interactive webinar.</t>
  </si>
  <si>
    <t xml:space="preserve">Bristol Twos Network - December 2026</t>
  </si>
  <si>
    <t xml:space="preserve">6:00 pm - 8:00 pm</t>
  </si>
  <si>
    <t xml:space="preserve">Red Bus Coombe Dingle</t>
  </si>
  <si>
    <t xml:space="preserve">NW Spotlight on Twos RP2-26-27</t>
  </si>
  <si>
    <t xml:space="preserve">Hosted by Red Bus Coombe Dingle. Facilitated by local specialist leaders for birth to three years, Millie Colwey and Megan Day.</t>
  </si>
  <si>
    <t xml:space="preserve">Maths Network - December 2026</t>
  </si>
  <si>
    <t xml:space="preserve">PD Mathematics RP2-26-27</t>
  </si>
  <si>
    <t xml:space="preserve">NW Maths RP2-26-27</t>
  </si>
  <si>
    <t xml:space="preserve">Facilitated by our Maths Lead and local Maths Leaders.</t>
  </si>
  <si>
    <t xml:space="preserve">https://beyth.co.uk/course/maths-network-december-2026/</t>
  </si>
  <si>
    <t xml:space="preserve">An informal online networking session for early years practitioners to come together, share experiences and explore key topics related to maths in early years settings, with each session offering a space for discussion, reflection and peer support.</t>
  </si>
  <si>
    <t xml:space="preserve">Learning Through a Continuous Provision Approach – Strengthening Early Years Teaching</t>
  </si>
  <si>
    <t xml:space="preserve">https://beyth.co.uk/course/learning-through-a-continuous-provision-approach-jan-27/</t>
  </si>
  <si>
    <t xml:space="preserve">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</si>
  <si>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 xml:space="preserve">Things I Wish I Knew About the Emotional Environment of Early Years Settings</t>
  </si>
  <si>
    <t xml:space="preserve">Leadership, PSED</t>
  </si>
  <si>
    <t xml:space="preserve">Presenter: Louise Hannan (Bridgwater College). Bio to follow from Beth.</t>
  </si>
  <si>
    <t xml:space="preserve">https://beyth.co.uk/course/emotional-environment-of-early-years-settings/</t>
  </si>
  <si>
    <t xml:space="preserve">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</si>
  <si>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 xml:space="preserve">Behaviour CPD Programme (Jan, Feb, March 2027) - Session 1</t>
  </si>
  <si>
    <t xml:space="preserve">1:00 pm - 3:30 pm</t>
  </si>
  <si>
    <t xml:space="preserve">Presenters (LSLs): Erin Blessitt, Terri Mitchell, Rachel Stoyall and Louise Scott.</t>
  </si>
  <si>
    <t xml:space="preserve">https://beyth.co.uk/course/behaviour-cpd-programme-jan-feb-march-2027/</t>
  </si>
  <si>
    <t xml:space="preserve">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</si>
  <si>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 xml:space="preserve">Creative Mathematics Study Day at Sefton Park School</t>
  </si>
  <si>
    <t xml:space="preserve">Sefton Park Infant and Junior Schools</t>
  </si>
  <si>
    <t xml:space="preserve">Presenter: Julian Swindale.</t>
  </si>
  <si>
    <t xml:space="preserve">https://beyth.co.uk/course/creative-mathematics-study-day-sefton-park/</t>
  </si>
  <si>
    <t xml:space="preserve">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</si>
  <si>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 xml:space="preserve">SEND Immersion Day: An Inclusive Curriculum and Communication with Parents (18th January 2027)</t>
  </si>
  <si>
    <t xml:space="preserve">9:30 am - 12:00 pm</t>
  </si>
  <si>
    <t xml:space="preserve">Ilminster Avenue Nursery School</t>
  </si>
  <si>
    <t xml:space="preserve">PD SEND RP2-26-27</t>
  </si>
  <si>
    <t xml:space="preserve">https://beyth.co.uk/course/send-immersion-day-an-inclusive-curriculum-and-communication-with-parents-18th-january-2027/</t>
  </si>
  <si>
    <t xml:space="preserve">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</si>
  <si>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 xml:space="preserve">SEND Immersion Day: An Inclusive Curriculum and Communication with Parents (20th January 2027)</t>
  </si>
  <si>
    <t xml:space="preserve">https://beyth.co.uk/course/send-immersion-day-an-inclusive-curriculum-and-communication-with-parents-20th-january-2027/</t>
  </si>
  <si>
    <t xml:space="preserve">Authentic, Ambitious and Values-Based Leadership</t>
  </si>
  <si>
    <t xml:space="preserve">Presenter: Lucy Driver, lead of the Stronger Practice Hub.</t>
  </si>
  <si>
    <t xml:space="preserve">https://beyth.co.uk/course/authentic-ambitious-and-values-based-leadership/</t>
  </si>
  <si>
    <t xml:space="preserve">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</si>
  <si>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 xml:space="preserve">PSED Network - January 2027</t>
  </si>
  <si>
    <t xml:space="preserve">NW PSED RP2-26-27</t>
  </si>
  <si>
    <t xml:space="preserve">https://beyth.co.uk/course/psed-network-january-2027/</t>
  </si>
  <si>
    <t xml:space="preserve">Join our PSED Learning Lead and the Bristol PSED team for this termly PSED network session, combining teaching time, shared practice and discussion, and action planning to leave you with ideas and tools you can use straight away. Session focus to be confirmed.</t>
  </si>
  <si>
    <t xml:space="preserve">EDI: It Starts With Us - Reflection on Bias and Positionality</t>
  </si>
  <si>
    <t xml:space="preserve">EDI</t>
  </si>
  <si>
    <t xml:space="preserve">Trainers: Local EDI Specialist leaders. One of a 3-part EDI CPD series — can book individually, but booking all 3 is recommended.</t>
  </si>
  <si>
    <t xml:space="preserve">https://beyth.co.uk/course/edi-it-starts-with-us-reflection-on-bias-and-positionality/</t>
  </si>
  <si>
    <t xml:space="preserve">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</si>
  <si>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 xml:space="preserve">Tuning in to Babies CPD Programme - Session 1</t>
  </si>
  <si>
    <t xml:space="preserve">PSED, Working with Babies</t>
  </si>
  <si>
    <t xml:space="preserve">Presenters: Simone Barnes and Cassie Holland (Birth-3 Network Leaders).</t>
  </si>
  <si>
    <t xml:space="preserve">https://beyth.co.uk/course/tuning-in-to-babies-cpd-programme/</t>
  </si>
  <si>
    <t xml:space="preserve">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</si>
  <si>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 xml:space="preserve">Quality Interactions Toolkit Roadshow - 29th January 2027</t>
  </si>
  <si>
    <t xml:space="preserve">TO ADD</t>
  </si>
  <si>
    <t xml:space="preserve">https://beyth.co.uk/course/quality-interactions-toolkit-roadshow-29th-january-2027/</t>
  </si>
  <si>
    <t xml:space="preserve">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</si>
  <si>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 xml:space="preserve">Talking About Twos: Removing Barriers, Creating Opportunities</t>
  </si>
  <si>
    <t xml:space="preserve">https://beyth.co.uk/course/talking-about-twos-removing-barriers-creating-opportunities/</t>
  </si>
  <si>
    <t xml:space="preserve">Explore how settings can use FRAS-funded two-year-old places to support access, build strong relationships with families, and create the responsive, inclusive environments that help every two-year-old flourish, particularly those experiencing disadvantage.</t>
  </si>
  <si>
    <t xml:space="preserve">SEND Immersion Day – Specialist Autism Early Years Practice (2nd February 2027)</t>
  </si>
  <si>
    <t xml:space="preserve">Springboard - Mead Vale Early Years Autism Hub, Mead Vale Primary School</t>
  </si>
  <si>
    <t xml:space="preserve">Facilitated by the Springboard team.</t>
  </si>
  <si>
    <t xml:space="preserve">https://beyth.co.uk/course/send-immersion-day-specialist-autism-early-years-practice-2nd-february-2027/</t>
  </si>
  <si>
    <t xml:space="preserve">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</si>
  <si>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 xml:space="preserve">Loose Parts Play with Childminding UK</t>
  </si>
  <si>
    <t xml:space="preserve">Delivered by Childminding UK Childminding Consultants. Bookings limited to SPH area only.</t>
  </si>
  <si>
    <t xml:space="preserve">https://beyth.co.uk/course/loose-parts-play-with-childminding-uk/</t>
  </si>
  <si>
    <t xml:space="preserve">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</si>
  <si>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 xml:space="preserve">Trauma Informed Practice Study Morning at Knowle West Nursery - February 2027</t>
  </si>
  <si>
    <t xml:space="preserve">https://beyth.co.uk/course/trauma-informed-practice-study-morning-at-knowle-west-nursery-february-2027/</t>
  </si>
  <si>
    <t xml:space="preserve">Leadership Matters Network (February 2027)</t>
  </si>
  <si>
    <t xml:space="preserve">https://beyth.co.uk/course/leadership-matters-network-february-2027/</t>
  </si>
  <si>
    <t xml:space="preserve">SEND Immersion Day – Specialist Autism Early Years Practice (4th February 2027)</t>
  </si>
  <si>
    <t xml:space="preserve">https://beyth.co.uk/course/send-immersion-day-specialist-autism-early-years-practice-4th-february-2027/</t>
  </si>
  <si>
    <t xml:space="preserve">EDI: Inclusive Environments - Reflection on the Messaging in Our Environments</t>
  </si>
  <si>
    <t xml:space="preserve">https://beyth.co.uk/course/edi-inclusive-environments-reflection-on-the-messaging-in-our-environments/</t>
  </si>
  <si>
    <t xml:space="preserve">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</si>
  <si>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 xml:space="preserve">Quality Interactions Toolkit Roadshow - 5th February 2027</t>
  </si>
  <si>
    <t xml:space="preserve">https://beyth.co.uk/course/quality-interactions-toolkit-roadshow-5th-february-2027/</t>
  </si>
  <si>
    <t xml:space="preserve">Understanding the Communication Needs of 2-Year-Olds (Salt Network Session)</t>
  </si>
  <si>
    <t xml:space="preserve">https://beyth.co.uk/course/understanding-the-communication-needs-of-2-year-olds-salt-network-session/</t>
  </si>
  <si>
    <t xml:space="preserve">Understand the communication needs of two-year-olds and explore responsive interaction strategies that follow children's interests, extend communication, and turn daily routines into meaningful learning opportunities.</t>
  </si>
  <si>
    <t xml:space="preserve">Courageous Conversations – Leadership</t>
  </si>
  <si>
    <t xml:space="preserve">https://beyth.co.uk/course/courageous-conversations-leadership-2027/</t>
  </si>
  <si>
    <t xml:space="preserve">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</si>
  <si>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 xml:space="preserve">Bristol Baby Practitioner Clusters - February 2027</t>
  </si>
  <si>
    <t xml:space="preserve">BS3 The Chessel Centre</t>
  </si>
  <si>
    <t xml:space="preserve">Hosted by BS3 The Chessel Centre. Facilitator: Hayley Smith (Manager).</t>
  </si>
  <si>
    <t xml:space="preserve">Tuning in to Babies CPD Programme - Session 2</t>
  </si>
  <si>
    <t xml:space="preserve">Behaviour CPD Programme (Jan, Feb, March 2027) - Session 2</t>
  </si>
  <si>
    <t xml:space="preserve">Quality Interactions Toolkit Roadshow - 12th February 2027</t>
  </si>
  <si>
    <t xml:space="preserve">https://beyth.co.uk/course/quality-interactions-toolkit-roadshow-12th-february-2027/</t>
  </si>
  <si>
    <t xml:space="preserve">Maths Network - February 2027</t>
  </si>
  <si>
    <t xml:space="preserve">https://beyth.co.uk/course/maths-network-february-2027/</t>
  </si>
  <si>
    <t xml:space="preserve">Bristol Twos Network - February 2027</t>
  </si>
  <si>
    <t xml:space="preserve">Snapdragons Horfield</t>
  </si>
  <si>
    <t xml:space="preserve">Hosted by Snapdragons Horfield. Facilitated by local specialist leaders for birth to three years, Millie Colwey and Megan Day.</t>
  </si>
  <si>
    <t xml:space="preserve">Childminder Network - February 2027</t>
  </si>
  <si>
    <t xml:space="preserve">9:30 am - 10:30 am</t>
  </si>
  <si>
    <t xml:space="preserve">https://beyth.co.uk/course/childminder-network-february-2027/</t>
  </si>
  <si>
    <t xml:space="preserve">Connect with fellow childminders to share experiences and reflect on ways to develop your practice and business, with time for input from our childminder lead or guest trainer, sharing practice and discussion, and action planning.</t>
  </si>
  <si>
    <t xml:space="preserve">Bristol Baby Practitioner Clusters - March 2027</t>
  </si>
  <si>
    <t xml:space="preserve">Jack and Jill</t>
  </si>
  <si>
    <t xml:space="preserve">Registered Events RP3-26-27</t>
  </si>
  <si>
    <t xml:space="preserve">Attended Events RP3-26-27</t>
  </si>
  <si>
    <t xml:space="preserve">AT Network RP3-26-27</t>
  </si>
  <si>
    <t xml:space="preserve">PD Other RP3-26-27</t>
  </si>
  <si>
    <t xml:space="preserve">NW Working with Babies RP3-26-27</t>
  </si>
  <si>
    <t xml:space="preserve">Hosted by Jack and Jill.</t>
  </si>
  <si>
    <t xml:space="preserve">SEND Immersion Day at St. Paul’s Nursery School - March 2027</t>
  </si>
  <si>
    <t xml:space="preserve">St. Paul's Nursery School</t>
  </si>
  <si>
    <t xml:space="preserve">AT Event RP3-26-27</t>
  </si>
  <si>
    <t xml:space="preserve">PD SEND RP3-26-27</t>
  </si>
  <si>
    <t xml:space="preserve">https://beyth.co.uk/course/send-immersion-day-at-st-pauls-nursery-school-march-2027/</t>
  </si>
  <si>
    <t xml:space="preserve">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</si>
  <si>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 xml:space="preserve">EDI: Anti-Racist Practice - Digging Into a Proactive Approach to Challenging Racism in the Everyday</t>
  </si>
  <si>
    <t xml:space="preserve">AT Webinar RP3-26-27</t>
  </si>
  <si>
    <t xml:space="preserve">PD PSED RP3-26-27</t>
  </si>
  <si>
    <t xml:space="preserve">https://beyth.co.uk/course/edi-anti-racist-practice-digging-into-a-proactive-approach-to-challenging-racism-in-the-everyday/</t>
  </si>
  <si>
    <t xml:space="preserve">Move from awareness to confident action, exploring how racism can emerge in subtle, everyday interactions and developing strategies to recognise and challenge bias, respond confidently to racist incidents, and support children's understanding of fairness and belonging.</t>
  </si>
  <si>
    <t xml:space="preserve">Communication and Language Network - March 2027</t>
  </si>
  <si>
    <t xml:space="preserve">PD Communication and Language RP3-26-27</t>
  </si>
  <si>
    <t xml:space="preserve">NW Communication, Language and Literacy RP3-26-27</t>
  </si>
  <si>
    <t xml:space="preserve">https://beyth.co.uk/course/communication-and-language-network-march-2027/</t>
  </si>
  <si>
    <t xml:space="preserve">Maths Is Everywhere - Continuous Provision and Outdoor Maths</t>
  </si>
  <si>
    <t xml:space="preserve">PD Mathematics RP3-26-27</t>
  </si>
  <si>
    <t xml:space="preserve">https://beyth.co.uk/course/maths-is-everywhere/</t>
  </si>
  <si>
    <t xml:space="preserve">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</si>
  <si>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 xml:space="preserve">Bristol Twos Network - March 2027</t>
  </si>
  <si>
    <t xml:space="preserve">4:30 pm - 6:30 pm</t>
  </si>
  <si>
    <t xml:space="preserve">St Pauls Nursery School</t>
  </si>
  <si>
    <t xml:space="preserve">NW Spotlight on Twos RP3-26-27</t>
  </si>
  <si>
    <t xml:space="preserve">Hosted by St Pauls Nursery School. Facilitated by local specialist leaders for birth to three years, Millie Colwey and Megan Day.</t>
  </si>
  <si>
    <t xml:space="preserve">Behaviour CPD Programme (Jan, Feb, March 2027) - Session 3</t>
  </si>
  <si>
    <t xml:space="preserve">Staff Supervision and Coaching – Leadership</t>
  </si>
  <si>
    <t xml:space="preserve">https://beyth.co.uk/course/staff-supervision-and-coaching-leadership/</t>
  </si>
  <si>
    <t xml:space="preserve">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</si>
  <si>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 xml:space="preserve">PD Early Literacy RP3-26-27</t>
  </si>
  <si>
    <t xml:space="preserve">https://beyth.co.uk/course/interactive-writing-march-27/</t>
  </si>
  <si>
    <t xml:space="preserve">PSED Network - March 2027</t>
  </si>
  <si>
    <t xml:space="preserve">NW PSED RP3-26-27</t>
  </si>
  <si>
    <t xml:space="preserve">https://beyth.co.uk/course/psed-network-march-2027/</t>
  </si>
  <si>
    <t xml:space="preserve">Leadership in the Baby Room</t>
  </si>
  <si>
    <t xml:space="preserve">Working with Babies, Leadership</t>
  </si>
  <si>
    <t xml:space="preserve">https://beyth.co.uk/course/leadership-baby-room/</t>
  </si>
  <si>
    <t xml:space="preserve">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</si>
  <si>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 xml:space="preserve">SEND Network: Understanding and Supporting Complex Needs in the Early Years</t>
  </si>
  <si>
    <t xml:space="preserve">NW SEND RP3-26-27</t>
  </si>
  <si>
    <t xml:space="preserve">https://beyth.co.uk/course/send-network-understanding-and-supporting-complex-needs-in-the-early-years/</t>
  </si>
  <si>
    <t xml:space="preserve">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</si>
  <si>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 xml:space="preserve">Equality, Diversity, and Inclusion Network: Reflect and Connect (March 2027)</t>
  </si>
  <si>
    <t xml:space="preserve">6:15 pm - 7:15 pm</t>
  </si>
  <si>
    <t xml:space="preserve">NW Equality, Diversity and Inclusion RP3-26-27</t>
  </si>
  <si>
    <t xml:space="preserve">https://beyth.co.uk/course/equality-diversity-and-inclusion-network-reflect-and-connect-march-2027/</t>
  </si>
  <si>
    <t xml:space="preserve">Connect, reflect and learn alongside colleagues who share a commitment to equality, diversity and inclusion — discussing current challenges, sharing effective practice, exploring real-life dilemmas and gaining fresh ideas to support your own setting.</t>
  </si>
  <si>
    <t xml:space="preserve">Responsive Communication Strategies for Babies (SALT Network Session)</t>
  </si>
  <si>
    <t xml:space="preserve">https://beyth.co.uk/course/responsive-communication-strategies-for-babies-salt-network-session/</t>
  </si>
  <si>
    <t xml:space="preserve">Explore how everyday interactions with babies support early communication, attachment and brain development, learning to recognise and respond to babies' cues and create meaningful back-and-forth interactions that nurture language and connection.</t>
  </si>
  <si>
    <t xml:space="preserve">Babies Outdoors: Exploring, Connecting and Belonging - Study Day with Archfield House</t>
  </si>
  <si>
    <t xml:space="preserve">9:30 am - 1:00 pm</t>
  </si>
  <si>
    <t xml:space="preserve">Archfield House Nursery</t>
  </si>
  <si>
    <t xml:space="preserve">PD Physical Development RP3-26-27</t>
  </si>
  <si>
    <t xml:space="preserve">Delivered in partnership with Archfield House Nursery.</t>
  </si>
  <si>
    <t xml:space="preserve">https://beyth.co.uk/course/babies-outdoors-exploring-connecting-and-belonging-study-day-with-archfield-house/</t>
  </si>
  <si>
    <t xml:space="preserve">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</si>
  <si>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 xml:space="preserve">Leadership Matters Network (March 2027)</t>
  </si>
  <si>
    <t xml:space="preserve">NW Leadership and Staff Development RP3-26-27</t>
  </si>
  <si>
    <t xml:space="preserve">https://beyth.co.uk/course/leadership-matters-network-march-2027/</t>
  </si>
  <si>
    <t xml:space="preserve">Talking About Babies: Listening to Babies</t>
  </si>
  <si>
    <t xml:space="preserve">https://beyth.co.uk/course/talking-about-babies-listening-to-babies/</t>
  </si>
  <si>
    <t xml:space="preserve">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</si>
  <si>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 xml:space="preserve">EAL in the Early Years – Unlocking the Potential of Every Child (CPD Programme) - Session 1</t>
  </si>
  <si>
    <t xml:space="preserve">Presenter: Andrina Flinders, Headteacher of Fullbrook Nursery School and Lead Practitioner for the Thrive Together Stronger Practice Hub. This training will be recorded, and a version will be made available online afterwards.</t>
  </si>
  <si>
    <t xml:space="preserve">https://beyth.co.uk/course/eal-in-the-early-years-unlocking-the-potential-of-every-child-cpd-programme/</t>
  </si>
  <si>
    <t xml:space="preserve">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</si>
  <si>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 xml:space="preserve">Childminder Network - April 2027</t>
  </si>
  <si>
    <t xml:space="preserve">NW Childminders RP3-26-27</t>
  </si>
  <si>
    <t xml:space="preserve">https://beyth.co.uk/course/childminder-network-april-2027/</t>
  </si>
  <si>
    <t xml:space="preserve">Brilliance of Block Play</t>
  </si>
  <si>
    <t xml:space="preserve">9:00 am - 12:30 pm</t>
  </si>
  <si>
    <t xml:space="preserve">Presenter: Robin Taylor, Assistant Head at St. Pauls Nursery School and Local Specialist Leader for Maths in the EYs.</t>
  </si>
  <si>
    <t xml:space="preserve">https://beyth.co.uk/course/brilliance-block-play/</t>
  </si>
  <si>
    <t xml:space="preserve">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</si>
  <si>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 xml:space="preserve">SEND Immersion Day at St. Paul’s Nursery School - April 2027</t>
  </si>
  <si>
    <t xml:space="preserve">https://beyth.co.uk/course/send-immersion-day-at-st-pauls-nursery-school-april-2027/</t>
  </si>
  <si>
    <t xml:space="preserve">EAL in the Early Years – Unlocking the Potential of Every Child (CPD Programme) - Session 2</t>
  </si>
  <si>
    <t xml:space="preserve">https://beyth.co.uk/course/developing-an-early-years-curriculum-apr-27/</t>
  </si>
  <si>
    <t xml:space="preserve">Equality, Diversity, and Inclusion Network: Reflect and Connect (May 2027)</t>
  </si>
  <si>
    <t xml:space="preserve">6:30 pm - 7:30 pm</t>
  </si>
  <si>
    <t xml:space="preserve">https://beyth.co.uk/course/equality-diversity-and-inclusion-network-reflect-and-connect-may-2027/</t>
  </si>
  <si>
    <t xml:space="preserve">Leadership Matters Network (May 2027)</t>
  </si>
  <si>
    <t xml:space="preserve">https://beyth.co.uk/course/leadership-matters-network-may-2027/</t>
  </si>
  <si>
    <t xml:space="preserve">https://beyth.co.uk/course/quality-interactions-may-2027/</t>
  </si>
  <si>
    <t xml:space="preserve">Bristol Baby Practitioner Clusters - May 2027</t>
  </si>
  <si>
    <t xml:space="preserve">Millie's Garden</t>
  </si>
  <si>
    <t xml:space="preserve">Hosted by Millie's Garden. Facilitator: Millie Colwey (Lead).</t>
  </si>
  <si>
    <t xml:space="preserve">Maths Network - May 2027</t>
  </si>
  <si>
    <t xml:space="preserve">NW Maths RP3-26-27</t>
  </si>
  <si>
    <t xml:space="preserve">https://beyth.co.uk/course/maths-network-may-2027/</t>
  </si>
  <si>
    <t xml:space="preserve">Behaviour CPD Programme (May, June, July 2027) - Session 1</t>
  </si>
  <si>
    <t xml:space="preserve">https://beyth.co.uk/course/behaviour-cpd-programme-may-june-july-2027/</t>
  </si>
  <si>
    <t xml:space="preserve">Tuning in to Twos CPD Programme - Session 1</t>
  </si>
  <si>
    <t xml:space="preserve">https://beyth.co.uk/course/tuning-in-to-twos-cpd-programme/</t>
  </si>
  <si>
    <t xml:space="preserve">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</si>
  <si>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 xml:space="preserve">SEND Network: Working in Partnership with Parents</t>
  </si>
  <si>
    <t xml:space="preserve">https://beyth.co.uk/course/send-network-working-in-partnership-with-parents/</t>
  </si>
  <si>
    <t xml:space="preserve">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</si>
  <si>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 xml:space="preserve">https://beyth.co.uk/course/open-study-day-at-st-pauls-nursery-may-27/</t>
  </si>
  <si>
    <t xml:space="preserve">EAL in the Early Years – Unlocking the Potential of Every Child (CPD Programme) - Session 3</t>
  </si>
  <si>
    <t xml:space="preserve">Bristol Twos Network - May 2027</t>
  </si>
  <si>
    <t xml:space="preserve">5:00 pm - 7:00 pm</t>
  </si>
  <si>
    <t xml:space="preserve">Windmill Hill City Farm</t>
  </si>
  <si>
    <t xml:space="preserve">Hosted by Windmill Hill City Farm. Facilitated by local specialist leaders for birth to three years, Millie Colwey and Megan Day.</t>
  </si>
  <si>
    <t xml:space="preserve">Trauma Informed Practice Study Morning at Knowle West Nursery - May 2027</t>
  </si>
  <si>
    <t xml:space="preserve">https://beyth.co.uk/course/trauma-informed-practice-study-morning-at-knowle-west-nursery-may-2027/</t>
  </si>
  <si>
    <t xml:space="preserve">Tuning in to Twos CPD Programme - Session 2</t>
  </si>
  <si>
    <t xml:space="preserve">Bristol Baby Practitioner Clusters - June 2027</t>
  </si>
  <si>
    <t xml:space="preserve">Mama Bears Totterdown</t>
  </si>
  <si>
    <t xml:space="preserve">Registered Events RP4-26-27</t>
  </si>
  <si>
    <t xml:space="preserve">Attended Events RP4-26-27</t>
  </si>
  <si>
    <t xml:space="preserve">AT Network RP4-26-27</t>
  </si>
  <si>
    <t xml:space="preserve">PD Other RP4-26-27</t>
  </si>
  <si>
    <t xml:space="preserve">NW Working with Babies RP4-26-27</t>
  </si>
  <si>
    <t xml:space="preserve">Hosted by Mama Bears Totterdown. Facilitators: Justyna Van der Laan O'Donnell (Manager), Kayleigh (Treasure Room Lead).</t>
  </si>
  <si>
    <t xml:space="preserve">Talking About Twos: Behaviour: Regulate, Relate and Reason</t>
  </si>
  <si>
    <t xml:space="preserve">PD PSED RP4-26-27</t>
  </si>
  <si>
    <t xml:space="preserve">NW Spotlight on Twos RP4-26-27</t>
  </si>
  <si>
    <t xml:space="preserve">https://beyth.co.uk/course/talking-about-twos-behaviour-regulate-relate-and-reason/</t>
  </si>
  <si>
    <t xml:space="preserve">Drawing on Dr Bruce Perry's work on regulate, relate and reason, explore how two-year-olds develop emotional regulation through safe, responsive relationships, and how co-regulation, connection and curiosity can support children's behaviour with confidence and resilience.</t>
  </si>
  <si>
    <t xml:space="preserve">Communication and Language Network - June 2027</t>
  </si>
  <si>
    <t xml:space="preserve">PD Communication and Language RP4-26-27</t>
  </si>
  <si>
    <t xml:space="preserve">NW Communication, Language and Literacy RP4-26-27</t>
  </si>
  <si>
    <t xml:space="preserve">https://beyth.co.uk/course/communication-and-language-network-june-2027/</t>
  </si>
  <si>
    <t xml:space="preserve">Observing Through the Eyes of a Child - The Emotional Environment and Leadership Strategies</t>
  </si>
  <si>
    <t xml:space="preserve">AT Webinar RP4-26-27</t>
  </si>
  <si>
    <t xml:space="preserve">https://beyth.co.uk/course/observing-through-the-eyes-of-a-child-the-emotional-environment-and-leadership-strategies/</t>
  </si>
  <si>
    <t xml:space="preserve">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</si>
  <si>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 xml:space="preserve">Childminder Network - June 2027</t>
  </si>
  <si>
    <t xml:space="preserve">NW Childminders RP4-26-27</t>
  </si>
  <si>
    <t xml:space="preserve">https://beyth.co.uk/course/childminder-network-june-2027/</t>
  </si>
  <si>
    <t xml:space="preserve">Behaviour CPD Programme (May, June, July 2027) - Session 2</t>
  </si>
  <si>
    <t xml:space="preserve">Getting It Right for Babies CPD Programme - Session 1</t>
  </si>
  <si>
    <t xml:space="preserve">https://beyth.co.uk/course/getting-it-right-for-babies-cpd-programme/</t>
  </si>
  <si>
    <t xml:space="preserve">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</si>
  <si>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 xml:space="preserve">PSED Network - June 2027</t>
  </si>
  <si>
    <t xml:space="preserve">NW PSED RP4-26-27</t>
  </si>
  <si>
    <t xml:space="preserve">https://beyth.co.uk/course/psed-network-june-2027/</t>
  </si>
  <si>
    <t xml:space="preserve">Leadership Matters Network (June 2027)</t>
  </si>
  <si>
    <t xml:space="preserve">NW Leadership and Staff Development RP4-26-27</t>
  </si>
  <si>
    <t xml:space="preserve">https://beyth.co.uk/course/leadership-matters-network-june-2027/</t>
  </si>
  <si>
    <t xml:space="preserve">Equality, Diversity, and Inclusion Network: Reflect and Connect (July 2027)</t>
  </si>
  <si>
    <t xml:space="preserve">NW Equality, Diversity and Inclusion RP4-26-27</t>
  </si>
  <si>
    <t xml:space="preserve">https://beyth.co.uk/course/equality-diversity-and-inclusion-network-reflect-and-connect-july-2027/</t>
  </si>
  <si>
    <t xml:space="preserve">New to EYFS (For Bristol Schools Only) – Strengthening Early Years Teaching</t>
  </si>
  <si>
    <t xml:space="preserve">AT Event RP4-26-27</t>
  </si>
  <si>
    <t xml:space="preserve">https://beyth.co.uk/course/new-to-eyfs-bristol/</t>
  </si>
  <si>
    <t xml:space="preserve">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</si>
  <si>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Bristol Baby Practitioner Clusters - July 2027</t>
  </si>
  <si>
    <t xml:space="preserve">Woodland House Nursery</t>
  </si>
  <si>
    <t xml:space="preserve">Hosted by Woodland House Nursery. Facilitators: Nicola (Baby Room Lead), Cristina (Deputy), Mitch &amp; Emma (Managers).</t>
  </si>
  <si>
    <t xml:space="preserve">Getting It Right for Babies CPD Programme - Session 2</t>
  </si>
  <si>
    <t xml:space="preserve">Behaviour CPD Programme (May, June, July 2027) - Session 3</t>
  </si>
  <si>
    <t xml:space="preserve">https://beyth.co.uk/course/learning-through-a-continuous-provision-approach-july-27/</t>
  </si>
  <si>
    <t xml:space="preserve">Bristol Twos Network - July 2027</t>
  </si>
  <si>
    <t xml:space="preserve">The Limes Nursery School</t>
  </si>
  <si>
    <t xml:space="preserve">Hosted by The Limes Nursery School. Facilitated by local specialist leaders for birth to three years, Millie Colwey and Megan Day.</t>
  </si>
  <si>
    <t xml:space="preserve">Getting It Right for Babies CPD Programme - Session 3</t>
  </si>
  <si>
    <t xml:space="preserve">Bristol Baby Practitioner Clusters - August 2027</t>
  </si>
  <si>
    <t xml:space="preserve">Raised in Bristol at Felix Road Adventure Playground</t>
  </si>
  <si>
    <t xml:space="preserve">Hosted by Raised in Bristol at Felix Road Adventure Playground. Facilitator: Lisa H. Hathaway (Manager).</t>
  </si>
  <si>
    <t xml:space="preserve">Talking About Babies: Mental Health and Wellbeing with Sarah Clarke</t>
  </si>
  <si>
    <t xml:space="preserve">Presenter: Sarah Clarke</t>
  </si>
  <si>
    <t xml:space="preserve">https://beyth.co.uk/course/talking-about-babies-mental-health-and-wellbeing-with-sarah-clarke/</t>
  </si>
  <si>
    <t xml:space="preserve">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</si>
</sst>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numFmts count="4">
    <numFmt numFmtId="164" formatCode="General"/>
    <numFmt numFmtId="165" formatCode="m/d/yyyy"/>
    <numFmt numFmtId="166" formatCode="0"/>
    <numFmt numFmtId="167" formatCode="dd/mm/yyyy"/>
  </numFmts>
  <fonts count="7">
    <font>
      <sz val="11"/>
      <color theme="1"/>
      <name val="Aptos Narrow"/>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2"/>
      <color theme="10"/>
      <name val="Calibri"/>
      <family val="2"/>
      <charset val="1"/>
    </font>
  </fonts>
  <fills count="6">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true" applyAlignment="true" applyProtection="true">
      <alignment horizontal="general" vertical="bottom" textRotation="0" wrapText="false" indent="0" shrinkToFit="false"/>
      <protection locked="true" hidden="false"/>
    </xf>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2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5" fillId="5" borderId="0" xfId="0" applyFont="true" applyBorder="false" applyAlignment="true" applyProtection="fals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7">
    <dxf>
      <fill>
        <patternFill patternType="solid">
          <fgColor rgb="FF92D050"/>
          <bgColor rgb="FF000000"/>
        </patternFill>
      </fill>
    </dxf>
    <dxf>
      <fill>
        <patternFill patternType="solid">
          <fgColor rgb="FFFFC000"/>
          <bgColor rgb="FF000000"/>
        </patternFill>
      </fill>
    </dxf>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ill>
        <patternFill patternType="solid">
          <fgColor rgb="FF467886"/>
          <bgColor rgb="FF000000"/>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leRP12627" displayName="TableRP12627" ref="A1:U30" headerRowCount="1" totalsRowCount="0" totalsRowShown="0">
  <autoFilter ref="A1:U30"/>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2.xml><?xml version="1.0" encoding="utf-8"?>
<table xmlns="http://schemas.openxmlformats.org/spreadsheetml/2006/main" id="2" name="TableRP22627" displayName="TableRP22627" ref="A1:U40" headerRowCount="1" totalsRowCount="0" totalsRowShown="0">
  <autoFilter ref="A1:U40"/>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3.xml><?xml version="1.0" encoding="utf-8"?>
<table xmlns="http://schemas.openxmlformats.org/spreadsheetml/2006/main" id="3" name="TableRP32627" displayName="TableRP32627" ref="A1:U37" headerRowCount="1" totalsRowCount="0" totalsRowShown="0">
  <autoFilter ref="A1:U37"/>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4.xml><?xml version="1.0" encoding="utf-8"?>
<table xmlns="http://schemas.openxmlformats.org/spreadsheetml/2006/main" id="4" name="TableRP42627" displayName="TableRP42627" ref="A1:U20" headerRowCount="1" totalsRowCount="0" totalsRowShown="0">
  <autoFilter ref="A1:U20"/>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eyth.co.uk/course/autumn-outdoor-learning-morning-for-childminders-and-children/" TargetMode="External"/><Relationship Id="rId2" Type="http://schemas.openxmlformats.org/officeDocument/2006/relationships/hyperlink" Target="https://beyth.co.uk/course/using-visuals-to-support-speech-language-and-communication-salt-network-session/" TargetMode="External"/><Relationship Id="rId3" Type="http://schemas.openxmlformats.org/officeDocument/2006/relationships/hyperlink" Target="https://beyth.co.uk/course/leadership-matters-network-october-2026/" TargetMode="External"/><Relationship Id="rId4" Type="http://schemas.openxmlformats.org/officeDocument/2006/relationships/hyperlink" Target="https://calendar.bristolearlyyears.org.uk/" TargetMode="External"/><Relationship Id="rId5" Type="http://schemas.openxmlformats.org/officeDocument/2006/relationships/hyperlink" Target="https://beyth.co.uk/course/october-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7" Type="http://schemas.openxmlformats.org/officeDocument/2006/relationships/hyperlink" Target="https://beyth.co.uk/course/talking-with-babies-oct-2026/" TargetMode="External"/><Relationship Id="rId8" Type="http://schemas.openxmlformats.org/officeDocument/2006/relationships/hyperlink" Target="https://calendar.bristolearlyyears.org.uk/" TargetMode="External"/><Relationship Id="rId9" Type="http://schemas.openxmlformats.org/officeDocument/2006/relationships/hyperlink" Target="https://beyth.co.uk/course/mathematising-the-day-october-2026/" TargetMode="External"/><Relationship Id="rId10" Type="http://schemas.openxmlformats.org/officeDocument/2006/relationships/hyperlink" Target="https://calendar.bristolearlyyears.org.uk/" TargetMode="External"/><Relationship Id="rId11" Type="http://schemas.openxmlformats.org/officeDocument/2006/relationships/hyperlink" Target="https://beyth.co.uk/course/cpd-programme-getting-it-right-for-twos-2026/" TargetMode="External"/><Relationship Id="rId12" Type="http://schemas.openxmlformats.org/officeDocument/2006/relationships/hyperlink" Target="https://beyth.co.uk/course/mathematising-the-day-study-morning-hartcliffe-nursery/" TargetMode="External"/><Relationship Id="rId13" Type="http://schemas.openxmlformats.org/officeDocument/2006/relationships/hyperlink" Target="https://beyth.co.uk/course/cpd-programme-using-evidence-to-strengthen-your-early-years-leadership-2026/" TargetMode="External"/><Relationship Id="rId14" Type="http://schemas.openxmlformats.org/officeDocument/2006/relationships/hyperlink" Target="https://beyth.co.uk/course/somerset-baby-practitioner-network-meeting-november-2026/" TargetMode="External"/><Relationship Id="rId15" Type="http://schemas.openxmlformats.org/officeDocument/2006/relationships/hyperlink" Target="https://beyth.co.uk/course/cpd-programme-getting-it-right-for-twos-2026/" TargetMode="External"/><Relationship Id="rId16" Type="http://schemas.openxmlformats.org/officeDocument/2006/relationships/hyperlink" Target="https://beyth.co.uk/course/emotion-coaching-to-support-self-regulation/" TargetMode="External"/><Relationship Id="rId17"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beyth.co.uk/course/childminder-network-leading-a-team/" TargetMode="External"/><Relationship Id="rId2" Type="http://schemas.openxmlformats.org/officeDocument/2006/relationships/hyperlink" Target="https://beyth.co.uk/course/cpd-programme-using-evidence-to-strengthen-your-early-years-leadership-2026/" TargetMode="External"/><Relationship Id="rId3" Type="http://schemas.openxmlformats.org/officeDocument/2006/relationships/hyperlink" Target="https://calendar.bristolearlyyears.org.uk/" TargetMode="External"/><Relationship Id="rId4" Type="http://schemas.openxmlformats.org/officeDocument/2006/relationships/hyperlink" Target="https://beyth.co.uk/course/leadership-matters-network-december-2026/" TargetMode="External"/><Relationship Id="rId5" Type="http://schemas.openxmlformats.org/officeDocument/2006/relationships/hyperlink" Target="https://beyth.co.uk/course/cpd-programme-getting-it-right-for-twos-2026/" TargetMode="External"/><Relationship Id="rId6" Type="http://schemas.openxmlformats.org/officeDocument/2006/relationships/hyperlink" Target="https://calendar.bristolearlyyears.org.uk/" TargetMode="External"/><Relationship Id="rId7" Type="http://schemas.openxmlformats.org/officeDocument/2006/relationships/hyperlink" Target="https://beyth.co.uk/course/authentic-ambitious-and-values-based-leadership/" TargetMode="External"/><Relationship Id="rId8" Type="http://schemas.openxmlformats.org/officeDocument/2006/relationships/hyperlink" Target="https://beyth.co.uk/course/quality-interactions-toolkit-roadshow-29th-january-2027/" TargetMode="External"/><Relationship Id="rId9" Type="http://schemas.openxmlformats.org/officeDocument/2006/relationships/hyperlink" Target="https://beyth.co.uk/course/talking-about-twos-removing-barriers-creating-opportunities/" TargetMode="External"/><Relationship Id="rId10" Type="http://schemas.openxmlformats.org/officeDocument/2006/relationships/hyperlink" Target="https://beyth.co.uk/course/leadership-matters-network-february-2027/" TargetMode="External"/><Relationship Id="rId11" Type="http://schemas.openxmlformats.org/officeDocument/2006/relationships/hyperlink" Target="https://beyth.co.uk/course/quality-interactions-toolkit-roadshow-5th-february-2027/" TargetMode="External"/><Relationship Id="rId12" Type="http://schemas.openxmlformats.org/officeDocument/2006/relationships/hyperlink" Target="https://beyth.co.uk/course/courageous-conversations-leadership-2027/" TargetMode="External"/><Relationship Id="rId13" Type="http://schemas.openxmlformats.org/officeDocument/2006/relationships/hyperlink" Target="https://calendar.bristolearlyyears.org.uk/" TargetMode="External"/><Relationship Id="rId14" Type="http://schemas.openxmlformats.org/officeDocument/2006/relationships/hyperlink" Target="https://beyth.co.uk/course/quality-interactions-toolkit-roadshow-12th-february-2027/" TargetMode="External"/><Relationship Id="rId15" Type="http://schemas.openxmlformats.org/officeDocument/2006/relationships/hyperlink" Target="https://calendar.bristolearlyyears.org.uk/" TargetMode="External"/><Relationship Id="rId16"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calendar.bristolearlyyears.org.uk/" TargetMode="External"/><Relationship Id="rId2" Type="http://schemas.openxmlformats.org/officeDocument/2006/relationships/hyperlink" Target="https://beyth.co.uk/course/maths-is-everywhere/" TargetMode="External"/><Relationship Id="rId3" Type="http://schemas.openxmlformats.org/officeDocument/2006/relationships/hyperlink" Target="https://calendar.bristolearlyyears.org.uk/" TargetMode="External"/><Relationship Id="rId4" Type="http://schemas.openxmlformats.org/officeDocument/2006/relationships/hyperlink" Target="https://beyth.co.uk/course/brilliance-block-play/" TargetMode="External"/><Relationship Id="rId5" Type="http://schemas.openxmlformats.org/officeDocument/2006/relationships/hyperlink" Target="https://beyth.co.uk/course/eal-in-the-early-years-unlocking-the-potential-of-every-child-cpd-programme/" TargetMode="External"/><Relationship Id="rId6" Type="http://schemas.openxmlformats.org/officeDocument/2006/relationships/hyperlink" Target="https://calendar.bristolearlyyears.org.uk/" TargetMode="External"/><Relationship Id="rId7" Type="http://schemas.openxmlformats.org/officeDocument/2006/relationships/hyperlink" Target="https://beyth.co.uk/course/eal-in-the-early-years-unlocking-the-potential-of-every-child-cpd-programme/" TargetMode="External"/><Relationship Id="rId8" Type="http://schemas.openxmlformats.org/officeDocument/2006/relationships/hyperlink" Target="https://calendar.bristolearlyyears.org.uk/" TargetMode="External"/><Relationship Id="rId9" Type="http://schemas.openxmlformats.org/officeDocument/2006/relationships/hyperlink" Target="https://beyth.co.uk/course/tuning-in-to-twos-cpd-programme/" TargetMode="External"/><Relationship Id="rId10"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hyperlink" Target="https://calendar.bristolearlyyears.org.uk/" TargetMode="External"/><Relationship Id="rId2" Type="http://schemas.openxmlformats.org/officeDocument/2006/relationships/hyperlink" Target="https://beyth.co.uk/course/psed-network-june-2027/" TargetMode="External"/><Relationship Id="rId3"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 Id="rId5" Type="http://schemas.openxmlformats.org/officeDocument/2006/relationships/hyperlink" Target="https://calendar.bristolearlyyears.org.uk/" TargetMode="External"/><Relationship Id="rId6"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N11" activeCellId="0" sqref="N11"/>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7" t="s">
        <v>21</v>
      </c>
      <c r="B2" s="8" t="n">
        <v>46288</v>
      </c>
      <c r="C2" s="2" t="str">
        <f aca="false">IF(B2="","",TEXT(B2,"dddd"))</f>
        <v>Wednesday</v>
      </c>
      <c r="D2" s="2" t="s">
        <v>22</v>
      </c>
      <c r="E2" s="2" t="s">
        <v>23</v>
      </c>
      <c r="F2" s="2" t="s">
        <v>24</v>
      </c>
      <c r="G2" s="3" t="n">
        <v>10</v>
      </c>
      <c r="H2" s="1" t="s">
        <v>25</v>
      </c>
      <c r="I2" s="1" t="s">
        <v>26</v>
      </c>
      <c r="J2" s="1" t="s">
        <v>27</v>
      </c>
      <c r="K2" s="1" t="s">
        <v>28</v>
      </c>
      <c r="M2" s="1" t="s">
        <v>23</v>
      </c>
      <c r="N2" s="1" t="s">
        <v>29</v>
      </c>
      <c r="O2" s="1" t="s">
        <v>30</v>
      </c>
      <c r="Q2" s="9" t="s">
        <v>31</v>
      </c>
      <c r="R2" s="1" t="s">
        <v>32</v>
      </c>
      <c r="S2" s="10" t="s">
        <v>33</v>
      </c>
      <c r="T2" s="10" t="s">
        <v>34</v>
      </c>
      <c r="U2" s="11" t="b">
        <f aca="false">FALSE()</f>
        <v>0</v>
      </c>
    </row>
    <row r="3" customFormat="false" ht="30" hidden="false" customHeight="true" outlineLevel="0" collapsed="false">
      <c r="A3" s="7" t="s">
        <v>35</v>
      </c>
      <c r="B3" s="8" t="n">
        <v>46300</v>
      </c>
      <c r="C3" s="2" t="str">
        <f aca="false">IF(B3="","",TEXT(B3,"dddd"))</f>
        <v>Monday</v>
      </c>
      <c r="D3" s="2" t="s">
        <v>36</v>
      </c>
      <c r="E3" s="2" t="s">
        <v>37</v>
      </c>
      <c r="F3" s="2" t="s">
        <v>38</v>
      </c>
      <c r="G3" s="3" t="n">
        <v>80</v>
      </c>
      <c r="H3" s="1" t="s">
        <v>25</v>
      </c>
      <c r="I3" s="1" t="s">
        <v>26</v>
      </c>
      <c r="J3" s="1" t="s">
        <v>39</v>
      </c>
      <c r="K3" s="1" t="s">
        <v>40</v>
      </c>
      <c r="L3" s="1" t="s">
        <v>41</v>
      </c>
      <c r="M3" s="1" t="s">
        <v>37</v>
      </c>
      <c r="N3" s="1" t="s">
        <v>29</v>
      </c>
      <c r="O3" s="1" t="s">
        <v>30</v>
      </c>
      <c r="Q3" s="9" t="s">
        <v>42</v>
      </c>
      <c r="R3" s="1" t="s">
        <v>43</v>
      </c>
      <c r="S3" s="10" t="s">
        <v>33</v>
      </c>
      <c r="T3" s="10" t="s">
        <v>34</v>
      </c>
      <c r="U3" s="11" t="b">
        <f aca="false">FALSE()</f>
        <v>0</v>
      </c>
    </row>
    <row r="4" customFormat="false" ht="15" hidden="false" customHeight="true" outlineLevel="0" collapsed="false">
      <c r="A4" s="7" t="s">
        <v>44</v>
      </c>
      <c r="B4" s="8" t="n">
        <v>46302</v>
      </c>
      <c r="C4" s="2" t="str">
        <f aca="false">IF(B4="","",TEXT(B4,"dddd"))</f>
        <v>Wednesday</v>
      </c>
      <c r="D4" s="2" t="s">
        <v>45</v>
      </c>
      <c r="E4" s="2" t="s">
        <v>46</v>
      </c>
      <c r="F4" s="2" t="s">
        <v>38</v>
      </c>
      <c r="G4" s="3" t="n">
        <v>80</v>
      </c>
      <c r="H4" s="1" t="s">
        <v>25</v>
      </c>
      <c r="I4" s="1" t="s">
        <v>26</v>
      </c>
      <c r="J4" s="1" t="s">
        <v>39</v>
      </c>
      <c r="K4" s="1" t="s">
        <v>28</v>
      </c>
      <c r="L4" s="1" t="s">
        <v>47</v>
      </c>
      <c r="M4" s="1" t="s">
        <v>46</v>
      </c>
      <c r="N4" s="1" t="s">
        <v>29</v>
      </c>
      <c r="O4" s="1" t="s">
        <v>30</v>
      </c>
      <c r="Q4" s="9" t="s">
        <v>48</v>
      </c>
      <c r="R4" s="1" t="s">
        <v>49</v>
      </c>
      <c r="S4" s="10" t="s">
        <v>33</v>
      </c>
      <c r="T4" s="10" t="s">
        <v>34</v>
      </c>
      <c r="U4" s="11" t="b">
        <f aca="false">FALSE()</f>
        <v>0</v>
      </c>
    </row>
    <row r="5" customFormat="false" ht="30" hidden="false" customHeight="true" outlineLevel="0" collapsed="false">
      <c r="A5" s="7" t="s">
        <v>50</v>
      </c>
      <c r="B5" s="8" t="n">
        <v>46302</v>
      </c>
      <c r="C5" s="2" t="str">
        <f aca="false">IF(B5="","",TEXT(B5,"dddd"))</f>
        <v>Wednesday</v>
      </c>
      <c r="D5" s="2" t="s">
        <v>51</v>
      </c>
      <c r="E5" s="2" t="s">
        <v>52</v>
      </c>
      <c r="F5" s="2" t="s">
        <v>38</v>
      </c>
      <c r="G5" s="3" t="n">
        <v>80</v>
      </c>
      <c r="H5" s="1" t="s">
        <v>25</v>
      </c>
      <c r="I5" s="1" t="s">
        <v>26</v>
      </c>
      <c r="J5" s="1" t="s">
        <v>39</v>
      </c>
      <c r="K5" s="1" t="s">
        <v>53</v>
      </c>
      <c r="L5" s="1" t="s">
        <v>54</v>
      </c>
      <c r="M5" s="1" t="s">
        <v>52</v>
      </c>
      <c r="N5" s="1" t="s">
        <v>29</v>
      </c>
      <c r="O5" s="1" t="s">
        <v>30</v>
      </c>
      <c r="P5" s="1" t="s">
        <v>55</v>
      </c>
      <c r="Q5" s="12" t="s">
        <v>56</v>
      </c>
      <c r="R5" s="1" t="s">
        <v>57</v>
      </c>
      <c r="S5" s="10" t="s">
        <v>33</v>
      </c>
      <c r="T5" s="10" t="s">
        <v>34</v>
      </c>
      <c r="U5" s="11" t="b">
        <f aca="false">FALSE()</f>
        <v>0</v>
      </c>
    </row>
    <row r="6" customFormat="false" ht="30" hidden="false" customHeight="true" outlineLevel="0" collapsed="false">
      <c r="A6" s="13" t="s">
        <v>58</v>
      </c>
      <c r="B6" s="8" t="n">
        <v>46302</v>
      </c>
      <c r="C6" s="2" t="str">
        <f aca="false">IF(B6="","",TEXT(B6,"dddd"))</f>
        <v>Wednesday</v>
      </c>
      <c r="D6" s="2" t="s">
        <v>59</v>
      </c>
      <c r="E6" s="2" t="s">
        <v>60</v>
      </c>
      <c r="F6" s="2" t="s">
        <v>61</v>
      </c>
      <c r="G6" s="3" t="n">
        <v>80</v>
      </c>
      <c r="H6" s="1" t="s">
        <v>25</v>
      </c>
      <c r="I6" s="1" t="s">
        <v>26</v>
      </c>
      <c r="J6" s="1" t="s">
        <v>39</v>
      </c>
      <c r="K6" s="1" t="s">
        <v>28</v>
      </c>
      <c r="L6" s="1" t="s">
        <v>62</v>
      </c>
      <c r="M6" s="1" t="s">
        <v>63</v>
      </c>
      <c r="N6" s="1" t="s">
        <v>29</v>
      </c>
      <c r="O6" s="1" t="s">
        <v>29</v>
      </c>
      <c r="P6" s="1" t="s">
        <v>64</v>
      </c>
      <c r="Q6" s="9" t="s">
        <v>65</v>
      </c>
      <c r="R6" s="1" t="s">
        <v>66</v>
      </c>
      <c r="S6" s="10" t="s">
        <v>60</v>
      </c>
      <c r="T6" s="10" t="s">
        <v>67</v>
      </c>
      <c r="U6" s="11" t="b">
        <f aca="false">FALSE()</f>
        <v>0</v>
      </c>
    </row>
    <row r="7" customFormat="false" ht="30" hidden="false" customHeight="true" outlineLevel="0" collapsed="false">
      <c r="A7" s="7" t="s">
        <v>68</v>
      </c>
      <c r="B7" s="8" t="n">
        <v>46303</v>
      </c>
      <c r="C7" s="2" t="str">
        <f aca="false">IF(B7="","",TEXT(B7,"dddd"))</f>
        <v>Thursday</v>
      </c>
      <c r="D7" s="2" t="s">
        <v>22</v>
      </c>
      <c r="E7" s="2" t="s">
        <v>23</v>
      </c>
      <c r="F7" s="2" t="s">
        <v>69</v>
      </c>
      <c r="G7" s="3" t="n">
        <v>10</v>
      </c>
      <c r="H7" s="1" t="s">
        <v>25</v>
      </c>
      <c r="I7" s="1" t="s">
        <v>26</v>
      </c>
      <c r="J7" s="1" t="s">
        <v>27</v>
      </c>
      <c r="K7" s="1" t="s">
        <v>28</v>
      </c>
      <c r="M7" s="1" t="s">
        <v>23</v>
      </c>
      <c r="N7" s="1" t="s">
        <v>29</v>
      </c>
      <c r="O7" s="1" t="s">
        <v>30</v>
      </c>
      <c r="Q7" s="9" t="s">
        <v>70</v>
      </c>
      <c r="R7" s="1" t="s">
        <v>32</v>
      </c>
      <c r="S7" s="10" t="s">
        <v>33</v>
      </c>
      <c r="T7" s="10" t="s">
        <v>34</v>
      </c>
      <c r="U7" s="11" t="b">
        <f aca="false">FALSE()</f>
        <v>0</v>
      </c>
    </row>
    <row r="8" customFormat="false" ht="30" hidden="false" customHeight="true" outlineLevel="0" collapsed="false">
      <c r="A8" s="7" t="s">
        <v>71</v>
      </c>
      <c r="B8" s="8" t="n">
        <v>46307</v>
      </c>
      <c r="C8" s="2" t="str">
        <f aca="false">IF(B8="","",TEXT(B8,"dddd"))</f>
        <v>Monday</v>
      </c>
      <c r="D8" s="2" t="s">
        <v>72</v>
      </c>
      <c r="E8" s="2" t="s">
        <v>73</v>
      </c>
      <c r="F8" s="2" t="s">
        <v>38</v>
      </c>
      <c r="G8" s="3" t="n">
        <v>80</v>
      </c>
      <c r="H8" s="1" t="s">
        <v>25</v>
      </c>
      <c r="I8" s="1" t="s">
        <v>26</v>
      </c>
      <c r="J8" s="1" t="s">
        <v>74</v>
      </c>
      <c r="K8" s="1" t="s">
        <v>28</v>
      </c>
      <c r="M8" s="1" t="s">
        <v>73</v>
      </c>
      <c r="N8" s="1" t="s">
        <v>29</v>
      </c>
      <c r="O8" s="1" t="s">
        <v>30</v>
      </c>
      <c r="P8" s="1" t="s">
        <v>75</v>
      </c>
      <c r="Q8" s="12" t="s">
        <v>76</v>
      </c>
      <c r="R8" s="1" t="s">
        <v>77</v>
      </c>
      <c r="S8" s="10" t="s">
        <v>33</v>
      </c>
      <c r="T8" s="10" t="s">
        <v>34</v>
      </c>
      <c r="U8" s="11" t="b">
        <f aca="false">FALSE()</f>
        <v>0</v>
      </c>
    </row>
    <row r="9" customFormat="false" ht="15" hidden="false" customHeight="true" outlineLevel="0" collapsed="false">
      <c r="A9" s="7" t="s">
        <v>78</v>
      </c>
      <c r="B9" s="8" t="n">
        <v>46308</v>
      </c>
      <c r="C9" s="2" t="str">
        <f aca="false">IF(B9="","",TEXT(B9,"dddd"))</f>
        <v>Tuesday</v>
      </c>
      <c r="D9" s="2" t="s">
        <v>79</v>
      </c>
      <c r="E9" s="2" t="s">
        <v>23</v>
      </c>
      <c r="F9" s="2" t="s">
        <v>38</v>
      </c>
      <c r="G9" s="3" t="n">
        <v>100</v>
      </c>
      <c r="H9" s="1" t="s">
        <v>25</v>
      </c>
      <c r="I9" s="1" t="s">
        <v>26</v>
      </c>
      <c r="J9" s="1" t="s">
        <v>39</v>
      </c>
      <c r="K9" s="1" t="s">
        <v>28</v>
      </c>
      <c r="L9" s="1" t="s">
        <v>80</v>
      </c>
      <c r="M9" s="1" t="s">
        <v>23</v>
      </c>
      <c r="N9" s="1" t="s">
        <v>29</v>
      </c>
      <c r="O9" s="1" t="s">
        <v>30</v>
      </c>
      <c r="Q9" s="9" t="s">
        <v>81</v>
      </c>
      <c r="R9" s="1" t="s">
        <v>82</v>
      </c>
      <c r="S9" s="10" t="s">
        <v>33</v>
      </c>
      <c r="T9" s="10" t="s">
        <v>34</v>
      </c>
      <c r="U9" s="11" t="b">
        <f aca="false">FALSE()</f>
        <v>0</v>
      </c>
    </row>
    <row r="10" customFormat="false" ht="27.75" hidden="false" customHeight="true" outlineLevel="0" collapsed="false">
      <c r="A10" s="7" t="s">
        <v>83</v>
      </c>
      <c r="B10" s="8" t="n">
        <v>46309</v>
      </c>
      <c r="C10" s="2" t="str">
        <f aca="false">IF(B10="","",TEXT(B10,"dddd"))</f>
        <v>Wednesday</v>
      </c>
      <c r="D10" s="2" t="s">
        <v>84</v>
      </c>
      <c r="E10" s="2" t="s">
        <v>63</v>
      </c>
      <c r="F10" s="2" t="s">
        <v>38</v>
      </c>
      <c r="G10" s="3" t="n">
        <v>80</v>
      </c>
      <c r="H10" s="1" t="s">
        <v>25</v>
      </c>
      <c r="I10" s="1" t="s">
        <v>26</v>
      </c>
      <c r="J10" s="1" t="s">
        <v>74</v>
      </c>
      <c r="K10" s="1" t="s">
        <v>28</v>
      </c>
      <c r="M10" s="1" t="s">
        <v>63</v>
      </c>
      <c r="N10" s="1" t="s">
        <v>29</v>
      </c>
      <c r="O10" s="1" t="s">
        <v>30</v>
      </c>
      <c r="Q10" s="9" t="s">
        <v>85</v>
      </c>
      <c r="R10" s="1" t="s">
        <v>86</v>
      </c>
      <c r="S10" s="10" t="s">
        <v>33</v>
      </c>
      <c r="T10" s="10" t="s">
        <v>34</v>
      </c>
      <c r="U10" s="11" t="b">
        <f aca="false">FALSE()</f>
        <v>0</v>
      </c>
    </row>
    <row r="11" customFormat="false" ht="30" hidden="false" customHeight="true" outlineLevel="0" collapsed="false">
      <c r="A11" s="13" t="s">
        <v>87</v>
      </c>
      <c r="B11" s="8" t="n">
        <v>46309</v>
      </c>
      <c r="C11" s="2" t="str">
        <f aca="false">IF(B11="","",TEXT(B11,"dddd"))</f>
        <v>Wednesday</v>
      </c>
      <c r="D11" s="2" t="s">
        <v>88</v>
      </c>
      <c r="E11" s="2" t="s">
        <v>60</v>
      </c>
      <c r="F11" s="2" t="s">
        <v>89</v>
      </c>
      <c r="G11" s="3" t="n">
        <v>80</v>
      </c>
      <c r="H11" s="1" t="s">
        <v>25</v>
      </c>
      <c r="I11" s="1" t="s">
        <v>26</v>
      </c>
      <c r="J11" s="1" t="s">
        <v>39</v>
      </c>
      <c r="K11" s="1" t="s">
        <v>28</v>
      </c>
      <c r="L11" s="1" t="s">
        <v>90</v>
      </c>
      <c r="M11" s="1" t="s">
        <v>91</v>
      </c>
      <c r="N11" s="1" t="s">
        <v>29</v>
      </c>
      <c r="O11" s="1" t="s">
        <v>29</v>
      </c>
      <c r="P11" s="1" t="s">
        <v>92</v>
      </c>
      <c r="Q11" s="9" t="s">
        <v>65</v>
      </c>
      <c r="R11" s="1" t="s">
        <v>93</v>
      </c>
      <c r="S11" s="10" t="s">
        <v>60</v>
      </c>
      <c r="T11" s="10" t="s">
        <v>67</v>
      </c>
      <c r="U11" s="11" t="b">
        <f aca="false">FALSE()</f>
        <v>0</v>
      </c>
    </row>
    <row r="12" customFormat="false" ht="30" hidden="false" customHeight="true" outlineLevel="0" collapsed="false">
      <c r="A12" s="7" t="s">
        <v>94</v>
      </c>
      <c r="B12" s="8" t="n">
        <v>46315</v>
      </c>
      <c r="C12" s="2" t="str">
        <f aca="false">IF(B12="","",TEXT(B12,"dddd"))</f>
        <v>Tuesday</v>
      </c>
      <c r="D12" s="2" t="s">
        <v>79</v>
      </c>
      <c r="E12" s="2" t="s">
        <v>23</v>
      </c>
      <c r="F12" s="2" t="s">
        <v>38</v>
      </c>
      <c r="G12" s="3" t="n">
        <v>80</v>
      </c>
      <c r="H12" s="1" t="s">
        <v>25</v>
      </c>
      <c r="I12" s="1" t="s">
        <v>26</v>
      </c>
      <c r="J12" s="1" t="s">
        <v>74</v>
      </c>
      <c r="K12" s="1" t="s">
        <v>95</v>
      </c>
      <c r="M12" s="1" t="s">
        <v>23</v>
      </c>
      <c r="N12" s="1" t="s">
        <v>29</v>
      </c>
      <c r="O12" s="1" t="s">
        <v>30</v>
      </c>
      <c r="P12" s="1" t="s">
        <v>96</v>
      </c>
      <c r="Q12" s="12" t="s">
        <v>97</v>
      </c>
      <c r="R12" s="1" t="s">
        <v>98</v>
      </c>
      <c r="S12" s="10" t="s">
        <v>33</v>
      </c>
      <c r="T12" s="10" t="s">
        <v>34</v>
      </c>
      <c r="U12" s="11" t="b">
        <f aca="false">FALSE()</f>
        <v>0</v>
      </c>
    </row>
    <row r="13" customFormat="false" ht="30" hidden="false" customHeight="true" outlineLevel="0" collapsed="false">
      <c r="A13" s="7" t="s">
        <v>99</v>
      </c>
      <c r="B13" s="8" t="n">
        <v>46315</v>
      </c>
      <c r="C13" s="2" t="str">
        <f aca="false">IF(B13="","",TEXT(B13,"dddd"))</f>
        <v>Tuesday</v>
      </c>
      <c r="D13" s="2" t="s">
        <v>100</v>
      </c>
      <c r="E13" s="2" t="s">
        <v>46</v>
      </c>
      <c r="F13" s="2" t="s">
        <v>101</v>
      </c>
      <c r="G13" s="3" t="n">
        <v>16</v>
      </c>
      <c r="H13" s="1" t="s">
        <v>25</v>
      </c>
      <c r="I13" s="1" t="s">
        <v>26</v>
      </c>
      <c r="J13" s="1" t="s">
        <v>27</v>
      </c>
      <c r="K13" s="1" t="s">
        <v>28</v>
      </c>
      <c r="M13" s="1" t="s">
        <v>102</v>
      </c>
      <c r="N13" s="1" t="s">
        <v>30</v>
      </c>
      <c r="O13" s="1" t="s">
        <v>30</v>
      </c>
      <c r="P13" s="1" t="s">
        <v>103</v>
      </c>
      <c r="Q13" s="12" t="s">
        <v>104</v>
      </c>
      <c r="R13" s="1" t="s">
        <v>105</v>
      </c>
      <c r="S13" s="10" t="s">
        <v>33</v>
      </c>
      <c r="T13" s="10" t="s">
        <v>34</v>
      </c>
      <c r="U13" s="11" t="b">
        <f aca="false">FALSE()</f>
        <v>0</v>
      </c>
    </row>
    <row r="14" customFormat="false" ht="30" hidden="false" customHeight="true" outlineLevel="0" collapsed="false">
      <c r="A14" s="7" t="s">
        <v>106</v>
      </c>
      <c r="B14" s="8" t="n">
        <v>46316</v>
      </c>
      <c r="C14" s="2" t="str">
        <f aca="false">IF(B14="","",TEXT(B14,"dddd"))</f>
        <v>Wednesday</v>
      </c>
      <c r="D14" s="2" t="s">
        <v>88</v>
      </c>
      <c r="E14" s="2" t="s">
        <v>107</v>
      </c>
      <c r="F14" s="2" t="s">
        <v>38</v>
      </c>
      <c r="G14" s="3" t="n">
        <v>80</v>
      </c>
      <c r="H14" s="1" t="s">
        <v>25</v>
      </c>
      <c r="I14" s="1" t="s">
        <v>26</v>
      </c>
      <c r="J14" s="1" t="s">
        <v>74</v>
      </c>
      <c r="K14" s="1" t="s">
        <v>108</v>
      </c>
      <c r="M14" s="1" t="s">
        <v>107</v>
      </c>
      <c r="N14" s="1" t="s">
        <v>29</v>
      </c>
      <c r="O14" s="1" t="s">
        <v>30</v>
      </c>
      <c r="P14" s="1" t="s">
        <v>109</v>
      </c>
      <c r="Q14" s="9" t="s">
        <v>110</v>
      </c>
      <c r="R14" s="1" t="s">
        <v>111</v>
      </c>
      <c r="S14" s="10" t="s">
        <v>33</v>
      </c>
      <c r="T14" s="10" t="s">
        <v>34</v>
      </c>
      <c r="U14" s="11" t="b">
        <f aca="false">FALSE()</f>
        <v>0</v>
      </c>
    </row>
    <row r="15" customFormat="false" ht="30" hidden="false" customHeight="true" outlineLevel="0" collapsed="false">
      <c r="A15" s="7" t="s">
        <v>112</v>
      </c>
      <c r="B15" s="8" t="n">
        <v>46317</v>
      </c>
      <c r="C15" s="2" t="str">
        <f aca="false">IF(B15="","",TEXT(B15,"dddd"))</f>
        <v>Thursday</v>
      </c>
      <c r="D15" s="2" t="s">
        <v>113</v>
      </c>
      <c r="E15" s="2" t="s">
        <v>91</v>
      </c>
      <c r="F15" s="2" t="s">
        <v>38</v>
      </c>
      <c r="G15" s="3" t="n">
        <v>80</v>
      </c>
      <c r="H15" s="1" t="s">
        <v>25</v>
      </c>
      <c r="I15" s="1" t="s">
        <v>26</v>
      </c>
      <c r="J15" s="1" t="s">
        <v>39</v>
      </c>
      <c r="K15" s="1" t="s">
        <v>95</v>
      </c>
      <c r="L15" s="1" t="s">
        <v>90</v>
      </c>
      <c r="M15" s="1" t="s">
        <v>91</v>
      </c>
      <c r="N15" s="1" t="s">
        <v>29</v>
      </c>
      <c r="O15" s="1" t="s">
        <v>30</v>
      </c>
      <c r="P15" s="1" t="s">
        <v>114</v>
      </c>
      <c r="Q15" s="12" t="s">
        <v>115</v>
      </c>
      <c r="R15" s="1" t="s">
        <v>116</v>
      </c>
      <c r="S15" s="10" t="s">
        <v>33</v>
      </c>
      <c r="T15" s="10" t="s">
        <v>34</v>
      </c>
      <c r="U15" s="11" t="b">
        <f aca="false">FALSE()</f>
        <v>0</v>
      </c>
    </row>
    <row r="16" customFormat="false" ht="30" hidden="false" customHeight="true" outlineLevel="0" collapsed="false">
      <c r="A16" s="7" t="s">
        <v>117</v>
      </c>
      <c r="B16" s="8" t="n">
        <v>46317</v>
      </c>
      <c r="C16" s="2" t="str">
        <f aca="false">IF(B16="","",TEXT(B16,"dddd"))</f>
        <v>Thursday</v>
      </c>
      <c r="D16" s="2" t="s">
        <v>118</v>
      </c>
      <c r="E16" s="2" t="s">
        <v>119</v>
      </c>
      <c r="F16" s="2" t="s">
        <v>38</v>
      </c>
      <c r="G16" s="3" t="n">
        <v>500</v>
      </c>
      <c r="H16" s="1" t="s">
        <v>25</v>
      </c>
      <c r="I16" s="1" t="s">
        <v>26</v>
      </c>
      <c r="J16" s="1" t="s">
        <v>74</v>
      </c>
      <c r="K16" s="1" t="s">
        <v>95</v>
      </c>
      <c r="M16" s="1" t="s">
        <v>119</v>
      </c>
      <c r="N16" s="1" t="s">
        <v>29</v>
      </c>
      <c r="O16" s="1" t="s">
        <v>30</v>
      </c>
      <c r="P16" s="1" t="s">
        <v>120</v>
      </c>
      <c r="Q16" s="12" t="s">
        <v>121</v>
      </c>
      <c r="R16" s="1" t="s">
        <v>122</v>
      </c>
      <c r="S16" s="10" t="s">
        <v>33</v>
      </c>
      <c r="T16" s="10" t="s">
        <v>34</v>
      </c>
      <c r="U16" s="11" t="b">
        <f aca="false">FALSE()</f>
        <v>0</v>
      </c>
    </row>
    <row r="17" customFormat="false" ht="30" hidden="false" customHeight="true" outlineLevel="0" collapsed="false">
      <c r="A17" s="7" t="s">
        <v>123</v>
      </c>
      <c r="B17" s="8" t="n">
        <v>46318</v>
      </c>
      <c r="C17" s="2" t="str">
        <f aca="false">IF(B17="","",TEXT(B17,"dddd"))</f>
        <v>Friday</v>
      </c>
      <c r="D17" s="2" t="s">
        <v>124</v>
      </c>
      <c r="E17" s="2" t="s">
        <v>46</v>
      </c>
      <c r="F17" s="2" t="s">
        <v>38</v>
      </c>
      <c r="G17" s="3" t="n">
        <v>80</v>
      </c>
      <c r="H17" s="1" t="s">
        <v>25</v>
      </c>
      <c r="I17" s="1" t="s">
        <v>26</v>
      </c>
      <c r="J17" s="1" t="s">
        <v>74</v>
      </c>
      <c r="K17" s="1" t="s">
        <v>28</v>
      </c>
      <c r="M17" s="1" t="s">
        <v>102</v>
      </c>
      <c r="N17" s="1" t="s">
        <v>29</v>
      </c>
      <c r="O17" s="1" t="s">
        <v>30</v>
      </c>
      <c r="P17" s="1" t="s">
        <v>125</v>
      </c>
      <c r="Q17" s="12" t="s">
        <v>126</v>
      </c>
      <c r="R17" s="1" t="s">
        <v>127</v>
      </c>
      <c r="S17" s="10" t="s">
        <v>33</v>
      </c>
      <c r="T17" s="10" t="s">
        <v>34</v>
      </c>
      <c r="U17" s="11" t="b">
        <f aca="false">FALSE()</f>
        <v>0</v>
      </c>
    </row>
    <row r="18" customFormat="false" ht="30" hidden="false" customHeight="true" outlineLevel="0" collapsed="false">
      <c r="A18" s="13" t="s">
        <v>128</v>
      </c>
      <c r="B18" s="8" t="n">
        <v>46328</v>
      </c>
      <c r="C18" s="2" t="str">
        <f aca="false">IF(B18="","",TEXT(B18,"dddd"))</f>
        <v>Monday</v>
      </c>
      <c r="D18" s="2" t="s">
        <v>129</v>
      </c>
      <c r="E18" s="2" t="s">
        <v>60</v>
      </c>
      <c r="F18" s="2" t="s">
        <v>130</v>
      </c>
      <c r="G18" s="3" t="n">
        <v>80</v>
      </c>
      <c r="H18" s="1" t="s">
        <v>25</v>
      </c>
      <c r="I18" s="1" t="s">
        <v>26</v>
      </c>
      <c r="J18" s="1" t="s">
        <v>39</v>
      </c>
      <c r="K18" s="1" t="s">
        <v>28</v>
      </c>
      <c r="L18" s="1" t="s">
        <v>62</v>
      </c>
      <c r="M18" s="1" t="s">
        <v>63</v>
      </c>
      <c r="N18" s="1" t="s">
        <v>29</v>
      </c>
      <c r="O18" s="1" t="s">
        <v>29</v>
      </c>
      <c r="P18" s="1" t="s">
        <v>131</v>
      </c>
      <c r="Q18" s="9" t="s">
        <v>65</v>
      </c>
      <c r="R18" s="1" t="s">
        <v>66</v>
      </c>
      <c r="S18" s="10" t="s">
        <v>60</v>
      </c>
      <c r="T18" s="10" t="s">
        <v>67</v>
      </c>
      <c r="U18" s="11" t="b">
        <f aca="false">FALSE()</f>
        <v>0</v>
      </c>
    </row>
    <row r="19" customFormat="false" ht="30" hidden="false" customHeight="true" outlineLevel="0" collapsed="false">
      <c r="A19" s="7" t="s">
        <v>132</v>
      </c>
      <c r="B19" s="8" t="n">
        <v>46330</v>
      </c>
      <c r="C19" s="2" t="str">
        <f aca="false">IF(B19="","",TEXT(B19,"dddd"))</f>
        <v>Wednesday</v>
      </c>
      <c r="D19" s="2" t="s">
        <v>88</v>
      </c>
      <c r="E19" s="2" t="s">
        <v>91</v>
      </c>
      <c r="F19" s="2" t="s">
        <v>38</v>
      </c>
      <c r="G19" s="3" t="n">
        <v>80</v>
      </c>
      <c r="H19" s="1" t="s">
        <v>25</v>
      </c>
      <c r="I19" s="1" t="s">
        <v>26</v>
      </c>
      <c r="J19" s="1" t="s">
        <v>74</v>
      </c>
      <c r="K19" s="1" t="s">
        <v>95</v>
      </c>
      <c r="M19" s="1" t="s">
        <v>91</v>
      </c>
      <c r="N19" s="1" t="s">
        <v>30</v>
      </c>
      <c r="O19" s="1" t="s">
        <v>30</v>
      </c>
      <c r="Q19" s="9" t="s">
        <v>133</v>
      </c>
      <c r="R19" s="1" t="s">
        <v>134</v>
      </c>
      <c r="S19" s="10" t="s">
        <v>33</v>
      </c>
      <c r="T19" s="10" t="s">
        <v>34</v>
      </c>
      <c r="U19" s="11" t="b">
        <f aca="false">FALSE()</f>
        <v>0</v>
      </c>
    </row>
    <row r="20" customFormat="false" ht="30" hidden="false" customHeight="true" outlineLevel="0" collapsed="false">
      <c r="A20" s="7" t="s">
        <v>135</v>
      </c>
      <c r="B20" s="8" t="n">
        <v>46331</v>
      </c>
      <c r="C20" s="2" t="str">
        <f aca="false">IF(B20="","",TEXT(B20,"dddd"))</f>
        <v>Thursday</v>
      </c>
      <c r="D20" s="2" t="s">
        <v>88</v>
      </c>
      <c r="E20" s="2" t="s">
        <v>37</v>
      </c>
      <c r="F20" s="2" t="s">
        <v>38</v>
      </c>
      <c r="G20" s="3" t="n">
        <v>80</v>
      </c>
      <c r="H20" s="1" t="s">
        <v>25</v>
      </c>
      <c r="I20" s="1" t="s">
        <v>26</v>
      </c>
      <c r="J20" s="1" t="s">
        <v>74</v>
      </c>
      <c r="K20" s="1" t="s">
        <v>40</v>
      </c>
      <c r="M20" s="1" t="s">
        <v>37</v>
      </c>
      <c r="N20" s="1" t="s">
        <v>29</v>
      </c>
      <c r="O20" s="1" t="s">
        <v>30</v>
      </c>
      <c r="Q20" s="12" t="s">
        <v>136</v>
      </c>
      <c r="R20" s="1" t="s">
        <v>137</v>
      </c>
      <c r="S20" s="10" t="s">
        <v>33</v>
      </c>
      <c r="T20" s="10" t="s">
        <v>34</v>
      </c>
      <c r="U20" s="11" t="b">
        <f aca="false">FALSE()</f>
        <v>0</v>
      </c>
    </row>
    <row r="21" customFormat="false" ht="30" hidden="false" customHeight="true" outlineLevel="0" collapsed="false">
      <c r="A21" s="7" t="s">
        <v>138</v>
      </c>
      <c r="B21" s="8" t="n">
        <v>46332</v>
      </c>
      <c r="C21" s="2" t="str">
        <f aca="false">IF(B21="","",TEXT(B21,"dddd"))</f>
        <v>Friday</v>
      </c>
      <c r="D21" s="2" t="s">
        <v>139</v>
      </c>
      <c r="E21" s="2" t="s">
        <v>107</v>
      </c>
      <c r="F21" s="2" t="s">
        <v>89</v>
      </c>
      <c r="G21" s="3" t="n">
        <v>12</v>
      </c>
      <c r="H21" s="1" t="s">
        <v>25</v>
      </c>
      <c r="I21" s="1" t="s">
        <v>26</v>
      </c>
      <c r="J21" s="1" t="s">
        <v>27</v>
      </c>
      <c r="K21" s="1" t="s">
        <v>108</v>
      </c>
      <c r="M21" s="1" t="s">
        <v>107</v>
      </c>
      <c r="N21" s="1" t="s">
        <v>29</v>
      </c>
      <c r="O21" s="1" t="s">
        <v>30</v>
      </c>
      <c r="P21" s="1" t="s">
        <v>140</v>
      </c>
      <c r="Q21" s="9" t="s">
        <v>141</v>
      </c>
      <c r="R21" s="1" t="s">
        <v>142</v>
      </c>
      <c r="S21" s="10" t="s">
        <v>33</v>
      </c>
      <c r="T21" s="10" t="s">
        <v>34</v>
      </c>
      <c r="U21" s="11" t="b">
        <f aca="false">FALSE()</f>
        <v>0</v>
      </c>
    </row>
    <row r="22" customFormat="false" ht="30" hidden="false" customHeight="true" outlineLevel="0" collapsed="false">
      <c r="A22" s="7" t="s">
        <v>143</v>
      </c>
      <c r="B22" s="8" t="n">
        <v>46335</v>
      </c>
      <c r="C22" s="2" t="str">
        <f aca="false">IF(B22="","",TEXT(B22,"dddd"))</f>
        <v>Monday</v>
      </c>
      <c r="D22" s="2" t="s">
        <v>36</v>
      </c>
      <c r="E22" s="2" t="s">
        <v>144</v>
      </c>
      <c r="F22" s="2" t="s">
        <v>38</v>
      </c>
      <c r="G22" s="3" t="n">
        <v>80</v>
      </c>
      <c r="H22" s="1" t="s">
        <v>25</v>
      </c>
      <c r="I22" s="1" t="s">
        <v>26</v>
      </c>
      <c r="J22" s="1" t="s">
        <v>39</v>
      </c>
      <c r="K22" s="1" t="s">
        <v>95</v>
      </c>
      <c r="L22" s="1" t="s">
        <v>145</v>
      </c>
      <c r="M22" s="1" t="s">
        <v>144</v>
      </c>
      <c r="N22" s="1" t="s">
        <v>29</v>
      </c>
      <c r="O22" s="1" t="s">
        <v>30</v>
      </c>
      <c r="Q22" s="12" t="s">
        <v>146</v>
      </c>
      <c r="R22" s="1" t="s">
        <v>147</v>
      </c>
      <c r="S22" s="10" t="s">
        <v>33</v>
      </c>
      <c r="T22" s="10" t="s">
        <v>34</v>
      </c>
      <c r="U22" s="11" t="b">
        <f aca="false">FALSE()</f>
        <v>0</v>
      </c>
    </row>
    <row r="23" customFormat="false" ht="30" hidden="false" customHeight="true" outlineLevel="0" collapsed="false">
      <c r="A23" s="14" t="s">
        <v>148</v>
      </c>
      <c r="B23" s="8" t="n">
        <v>46336</v>
      </c>
      <c r="C23" s="2" t="str">
        <f aca="false">IF(B23="","",TEXT(B23,"dddd"))</f>
        <v>Tuesday</v>
      </c>
      <c r="D23" s="2" t="s">
        <v>100</v>
      </c>
      <c r="E23" s="2" t="s">
        <v>46</v>
      </c>
      <c r="F23" s="2" t="s">
        <v>101</v>
      </c>
      <c r="G23" s="3" t="n">
        <v>16</v>
      </c>
      <c r="H23" s="1" t="s">
        <v>25</v>
      </c>
      <c r="I23" s="1" t="s">
        <v>26</v>
      </c>
      <c r="J23" s="1" t="s">
        <v>27</v>
      </c>
      <c r="K23" s="1" t="s">
        <v>28</v>
      </c>
      <c r="M23" s="1" t="s">
        <v>102</v>
      </c>
      <c r="N23" s="1" t="s">
        <v>30</v>
      </c>
      <c r="O23" s="1" t="s">
        <v>29</v>
      </c>
      <c r="P23" s="1" t="s">
        <v>103</v>
      </c>
      <c r="Q23" s="9" t="s">
        <v>104</v>
      </c>
      <c r="R23" s="1" t="s">
        <v>105</v>
      </c>
      <c r="S23" s="10" t="s">
        <v>33</v>
      </c>
      <c r="T23" s="10" t="s">
        <v>34</v>
      </c>
      <c r="U23" s="11" t="b">
        <f aca="false">FALSE()</f>
        <v>0</v>
      </c>
    </row>
    <row r="24" customFormat="false" ht="27.75" hidden="false" customHeight="true" outlineLevel="0" collapsed="false">
      <c r="A24" s="7" t="s">
        <v>149</v>
      </c>
      <c r="B24" s="8" t="n">
        <v>46337</v>
      </c>
      <c r="C24" s="2" t="str">
        <f aca="false">IF(B24="","",TEXT(B24,"dddd"))</f>
        <v>Wednesday</v>
      </c>
      <c r="D24" s="2" t="s">
        <v>150</v>
      </c>
      <c r="E24" s="2" t="s">
        <v>46</v>
      </c>
      <c r="F24" s="2" t="s">
        <v>151</v>
      </c>
      <c r="G24" s="3" t="n">
        <v>16</v>
      </c>
      <c r="H24" s="1" t="s">
        <v>25</v>
      </c>
      <c r="I24" s="1" t="s">
        <v>26</v>
      </c>
      <c r="J24" s="1" t="s">
        <v>27</v>
      </c>
      <c r="K24" s="1" t="s">
        <v>28</v>
      </c>
      <c r="M24" s="1" t="s">
        <v>102</v>
      </c>
      <c r="N24" s="1" t="s">
        <v>29</v>
      </c>
      <c r="O24" s="1" t="s">
        <v>30</v>
      </c>
      <c r="P24" s="1" t="s">
        <v>152</v>
      </c>
      <c r="Q24" s="12" t="s">
        <v>153</v>
      </c>
      <c r="R24" s="1" t="s">
        <v>154</v>
      </c>
      <c r="S24" s="10" t="s">
        <v>33</v>
      </c>
      <c r="T24" s="10" t="s">
        <v>34</v>
      </c>
      <c r="U24" s="11" t="b">
        <f aca="false">FALSE()</f>
        <v>0</v>
      </c>
    </row>
    <row r="25" customFormat="false" ht="15" hidden="false" customHeight="true" outlineLevel="0" collapsed="false">
      <c r="A25" s="7" t="s">
        <v>155</v>
      </c>
      <c r="B25" s="8" t="n">
        <v>46338</v>
      </c>
      <c r="C25" s="2" t="str">
        <f aca="false">IF(B25="","",TEXT(B25,"dddd"))</f>
        <v>Thursday</v>
      </c>
      <c r="D25" s="2" t="s">
        <v>156</v>
      </c>
      <c r="E25" s="2" t="s">
        <v>60</v>
      </c>
      <c r="G25" s="3" t="n">
        <v>70</v>
      </c>
      <c r="H25" s="1" t="s">
        <v>25</v>
      </c>
      <c r="I25" s="1" t="s">
        <v>26</v>
      </c>
      <c r="J25" s="1" t="s">
        <v>39</v>
      </c>
      <c r="K25" s="1" t="s">
        <v>28</v>
      </c>
      <c r="L25" s="1" t="s">
        <v>62</v>
      </c>
      <c r="N25" s="1" t="s">
        <v>29</v>
      </c>
      <c r="O25" s="1" t="s">
        <v>30</v>
      </c>
      <c r="Q25" s="9" t="s">
        <v>157</v>
      </c>
      <c r="R25" s="1" t="s">
        <v>158</v>
      </c>
      <c r="S25" s="10" t="s">
        <v>60</v>
      </c>
      <c r="T25" s="10" t="s">
        <v>34</v>
      </c>
      <c r="U25" s="11" t="b">
        <f aca="false">FALSE()</f>
        <v>0</v>
      </c>
    </row>
    <row r="26" customFormat="false" ht="30" hidden="false" customHeight="true" outlineLevel="0" collapsed="false">
      <c r="A26" s="14" t="s">
        <v>159</v>
      </c>
      <c r="B26" s="8" t="n">
        <v>46344</v>
      </c>
      <c r="C26" s="2" t="str">
        <f aca="false">IF(B26="","",TEXT(B26,"dddd"))</f>
        <v>Wednesday</v>
      </c>
      <c r="D26" s="2" t="s">
        <v>88</v>
      </c>
      <c r="E26" s="2" t="s">
        <v>91</v>
      </c>
      <c r="F26" s="2" t="s">
        <v>38</v>
      </c>
      <c r="G26" s="3" t="n">
        <v>80</v>
      </c>
      <c r="H26" s="1" t="s">
        <v>25</v>
      </c>
      <c r="I26" s="1" t="s">
        <v>26</v>
      </c>
      <c r="J26" s="1" t="s">
        <v>74</v>
      </c>
      <c r="K26" s="1" t="s">
        <v>95</v>
      </c>
      <c r="M26" s="1" t="s">
        <v>91</v>
      </c>
      <c r="N26" s="1" t="s">
        <v>30</v>
      </c>
      <c r="O26" s="1" t="s">
        <v>29</v>
      </c>
      <c r="Q26" s="9" t="s">
        <v>133</v>
      </c>
      <c r="S26" s="10" t="s">
        <v>33</v>
      </c>
      <c r="T26" s="10" t="s">
        <v>34</v>
      </c>
      <c r="U26" s="11" t="b">
        <f aca="false">FALSE()</f>
        <v>0</v>
      </c>
    </row>
    <row r="27" customFormat="false" ht="30" hidden="false" customHeight="true" outlineLevel="0" collapsed="false">
      <c r="A27" s="7" t="s">
        <v>160</v>
      </c>
      <c r="B27" s="8" t="n">
        <v>46345</v>
      </c>
      <c r="C27" s="2" t="str">
        <f aca="false">IF(B27="","",TEXT(B27,"dddd"))</f>
        <v>Thursday</v>
      </c>
      <c r="D27" s="2" t="s">
        <v>36</v>
      </c>
      <c r="E27" s="2" t="s">
        <v>37</v>
      </c>
      <c r="F27" s="2" t="s">
        <v>38</v>
      </c>
      <c r="G27" s="3" t="n">
        <v>80</v>
      </c>
      <c r="H27" s="1" t="s">
        <v>25</v>
      </c>
      <c r="I27" s="1" t="s">
        <v>26</v>
      </c>
      <c r="J27" s="1" t="s">
        <v>39</v>
      </c>
      <c r="K27" s="1" t="s">
        <v>40</v>
      </c>
      <c r="L27" s="1" t="s">
        <v>41</v>
      </c>
      <c r="M27" s="1" t="s">
        <v>37</v>
      </c>
      <c r="N27" s="1" t="s">
        <v>29</v>
      </c>
      <c r="O27" s="1" t="s">
        <v>30</v>
      </c>
      <c r="P27" s="1" t="s">
        <v>161</v>
      </c>
      <c r="Q27" s="12" t="s">
        <v>162</v>
      </c>
      <c r="R27" s="1" t="s">
        <v>163</v>
      </c>
      <c r="S27" s="10" t="s">
        <v>33</v>
      </c>
      <c r="T27" s="10" t="s">
        <v>34</v>
      </c>
      <c r="U27" s="11" t="b">
        <f aca="false">FALSE()</f>
        <v>0</v>
      </c>
    </row>
    <row r="28" customFormat="false" ht="15" hidden="false" customHeight="true" outlineLevel="0" collapsed="false">
      <c r="A28" s="7" t="s">
        <v>164</v>
      </c>
      <c r="B28" s="8" t="n">
        <v>46351</v>
      </c>
      <c r="C28" s="2" t="str">
        <f aca="false">IF(B28="","",TEXT(B28,"dddd"))</f>
        <v>Wednesday</v>
      </c>
      <c r="D28" s="2" t="s">
        <v>88</v>
      </c>
      <c r="E28" s="2" t="s">
        <v>144</v>
      </c>
      <c r="F28" s="2" t="s">
        <v>38</v>
      </c>
      <c r="G28" s="3" t="n">
        <v>80</v>
      </c>
      <c r="H28" s="1" t="s">
        <v>25</v>
      </c>
      <c r="I28" s="1" t="s">
        <v>26</v>
      </c>
      <c r="J28" s="1" t="s">
        <v>74</v>
      </c>
      <c r="K28" s="1" t="s">
        <v>95</v>
      </c>
      <c r="M28" s="1" t="s">
        <v>144</v>
      </c>
      <c r="N28" s="1" t="s">
        <v>29</v>
      </c>
      <c r="O28" s="1" t="s">
        <v>30</v>
      </c>
      <c r="P28" s="1" t="s">
        <v>165</v>
      </c>
      <c r="Q28" s="9" t="s">
        <v>166</v>
      </c>
      <c r="R28" s="1" t="s">
        <v>167</v>
      </c>
      <c r="S28" s="10" t="s">
        <v>33</v>
      </c>
      <c r="T28" s="10" t="s">
        <v>34</v>
      </c>
      <c r="U28" s="11" t="b">
        <f aca="false">FALSE()</f>
        <v>0</v>
      </c>
    </row>
    <row r="29" customFormat="false" ht="27.75" hidden="false" customHeight="true" outlineLevel="0" collapsed="false">
      <c r="A29" s="7" t="s">
        <v>168</v>
      </c>
      <c r="B29" s="8" t="n">
        <v>46352</v>
      </c>
      <c r="C29" s="2" t="str">
        <f aca="false">IF(B29="","",TEXT(B29,"dddd"))</f>
        <v>Thursday</v>
      </c>
      <c r="D29" s="2" t="s">
        <v>88</v>
      </c>
      <c r="E29" s="2" t="s">
        <v>37</v>
      </c>
      <c r="F29" s="2" t="s">
        <v>38</v>
      </c>
      <c r="G29" s="3" t="n">
        <v>80</v>
      </c>
      <c r="H29" s="1" t="s">
        <v>25</v>
      </c>
      <c r="I29" s="1" t="s">
        <v>26</v>
      </c>
      <c r="J29" s="1" t="s">
        <v>74</v>
      </c>
      <c r="K29" s="1" t="s">
        <v>169</v>
      </c>
      <c r="M29" s="1" t="s">
        <v>37</v>
      </c>
      <c r="N29" s="1" t="s">
        <v>29</v>
      </c>
      <c r="O29" s="1" t="s">
        <v>30</v>
      </c>
      <c r="Q29" s="12" t="s">
        <v>170</v>
      </c>
      <c r="R29" s="1" t="s">
        <v>171</v>
      </c>
      <c r="S29" s="10" t="s">
        <v>33</v>
      </c>
      <c r="T29" s="10" t="s">
        <v>34</v>
      </c>
      <c r="U29" s="11" t="b">
        <f aca="false">FALSE()</f>
        <v>0</v>
      </c>
    </row>
    <row r="30" customFormat="false" ht="28.35" hidden="false" customHeight="false" outlineLevel="0" collapsed="false">
      <c r="A30" s="7" t="s">
        <v>172</v>
      </c>
      <c r="B30" s="8" t="n">
        <v>46352</v>
      </c>
      <c r="C30" s="2" t="str">
        <f aca="false">IF(B30="","",TEXT(B30,"dddd"))</f>
        <v>Thursday</v>
      </c>
      <c r="D30" s="2" t="s">
        <v>51</v>
      </c>
      <c r="E30" s="2" t="s">
        <v>52</v>
      </c>
      <c r="F30" s="2" t="s">
        <v>38</v>
      </c>
      <c r="G30" s="3" t="n">
        <v>80</v>
      </c>
      <c r="H30" s="1" t="s">
        <v>25</v>
      </c>
      <c r="I30" s="1" t="s">
        <v>26</v>
      </c>
      <c r="J30" s="1" t="s">
        <v>39</v>
      </c>
      <c r="K30" s="1" t="s">
        <v>53</v>
      </c>
      <c r="L30" s="1" t="s">
        <v>54</v>
      </c>
      <c r="M30" s="1" t="s">
        <v>52</v>
      </c>
      <c r="N30" s="1" t="s">
        <v>29</v>
      </c>
      <c r="O30" s="1" t="s">
        <v>30</v>
      </c>
      <c r="P30" s="1" t="s">
        <v>55</v>
      </c>
      <c r="Q30" s="12" t="s">
        <v>173</v>
      </c>
      <c r="R30" s="1" t="s">
        <v>174</v>
      </c>
      <c r="S30" s="10" t="s">
        <v>33</v>
      </c>
      <c r="T30" s="10" t="s">
        <v>34</v>
      </c>
      <c r="U30" s="11" t="b">
        <f aca="false">FALSE()</f>
        <v>0</v>
      </c>
    </row>
  </sheetData>
  <dataValidations count="2">
    <dataValidation allowBlank="true" errorStyle="stop" operator="between" showDropDown="false" showErrorMessage="false" showInputMessage="false" sqref="S2:S30" type="list">
      <formula1>"Regional,Local"</formula1>
      <formula2>0</formula2>
    </dataValidation>
    <dataValidation allowBlank="true" errorStyle="stop" operator="between" showDropDown="false" showErrorMessage="false" showInputMessage="false" sqref="T2:T30" type="list">
      <formula1>"Website,External"</formula1>
      <formula2>0</formula2>
    </dataValidation>
  </dataValidations>
  <hyperlinks>
    <hyperlink ref="Q2" r:id="rId1" display="https://beyth.co.uk/course/autumn-outdoor-learning-morning-for-childminders-and-children/"/>
    <hyperlink ref="Q3" r:id="rId2" display="https://beyth.co.uk/course/using-visuals-to-support-speech-language-and-communication-salt-network-session/"/>
    <hyperlink ref="Q4" r:id="rId3" display="https://beyth.co.uk/course/leadership-matters-network-october-2026/"/>
    <hyperlink ref="Q6" r:id="rId4" display="https://calendar.bristolearlyyears.org.uk/"/>
    <hyperlink ref="Q7" r:id="rId5" display="https://beyth.co.uk/course/october-outdoor-learning-morning-for-childminders-and-children/"/>
    <hyperlink ref="Q9" r:id="rId6" display="https://beyth.co.uk/course/childminder-network-running-a-sustainable-childminding-business/"/>
    <hyperlink ref="Q10" r:id="rId7" display="https://beyth.co.uk/course/talking-with-babies-oct-2026/"/>
    <hyperlink ref="Q11" r:id="rId8" display="https://calendar.bristolearlyyears.org.uk/"/>
    <hyperlink ref="Q14" r:id="rId9" display="https://beyth.co.uk/course/mathematising-the-day-october-2026/"/>
    <hyperlink ref="Q18" r:id="rId10" display="https://calendar.bristolearlyyears.org.uk/"/>
    <hyperlink ref="Q19" r:id="rId11" display="https://beyth.co.uk/course/cpd-programme-getting-it-right-for-twos-2026/"/>
    <hyperlink ref="Q21" r:id="rId12" display="https://beyth.co.uk/course/mathematising-the-day-study-morning-hartcliffe-nursery/"/>
    <hyperlink ref="Q23" r:id="rId13" display="https://beyth.co.uk/course/cpd-programme-using-evidence-to-strengthen-your-early-years-leadership-2026/"/>
    <hyperlink ref="Q25" r:id="rId14" display="https://beyth.co.uk/course/somerset-baby-practitioner-network-meeting-november-2026/"/>
    <hyperlink ref="Q26" r:id="rId15" display="https://beyth.co.uk/course/cpd-programme-getting-it-right-for-twos-2026/"/>
    <hyperlink ref="Q28" r:id="rId16" display="https://beyth.co.uk/course/emotion-coaching-to-support-self-regulatio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N26" activeCellId="0" sqref="N26"/>
    </sheetView>
  </sheetViews>
  <sheetFormatPr defaultColWidth="8.57421875" defaultRowHeight="15" customHeight="false" zeroHeight="false" outlineLevelRow="0" outlineLevelCol="0"/>
  <cols>
    <col collapsed="false" customWidth="true" hidden="false" outlineLevel="0" max="1" min="1" style="1" width="96.71"/>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7" t="s">
        <v>175</v>
      </c>
      <c r="B2" s="8" t="n">
        <v>46357</v>
      </c>
      <c r="C2" s="2" t="str">
        <f aca="false">IF(B2="","",TEXT(B2,"dddd"))</f>
        <v>Tuesday</v>
      </c>
      <c r="D2" s="2" t="s">
        <v>79</v>
      </c>
      <c r="E2" s="2" t="s">
        <v>23</v>
      </c>
      <c r="F2" s="2" t="s">
        <v>38</v>
      </c>
      <c r="G2" s="3" t="n">
        <v>100</v>
      </c>
      <c r="H2" s="1" t="s">
        <v>176</v>
      </c>
      <c r="I2" s="1" t="s">
        <v>177</v>
      </c>
      <c r="J2" s="1" t="s">
        <v>178</v>
      </c>
      <c r="K2" s="1" t="s">
        <v>179</v>
      </c>
      <c r="L2" s="1" t="s">
        <v>180</v>
      </c>
      <c r="M2" s="1" t="s">
        <v>23</v>
      </c>
      <c r="N2" s="1" t="s">
        <v>29</v>
      </c>
      <c r="O2" s="1" t="s">
        <v>30</v>
      </c>
      <c r="Q2" s="9" t="s">
        <v>181</v>
      </c>
      <c r="R2" s="1" t="s">
        <v>182</v>
      </c>
      <c r="S2" s="10" t="s">
        <v>33</v>
      </c>
      <c r="T2" s="10" t="s">
        <v>34</v>
      </c>
      <c r="U2" s="11" t="b">
        <f aca="false">FALSE()</f>
        <v>0</v>
      </c>
    </row>
    <row r="3" customFormat="false" ht="15" hidden="false" customHeight="true" outlineLevel="0" collapsed="false">
      <c r="A3" s="14" t="s">
        <v>183</v>
      </c>
      <c r="B3" s="8" t="n">
        <v>46357</v>
      </c>
      <c r="C3" s="2" t="str">
        <f aca="false">IF(B3="","",TEXT(B3,"dddd"))</f>
        <v>Tuesday</v>
      </c>
      <c r="D3" s="2" t="s">
        <v>100</v>
      </c>
      <c r="E3" s="2" t="s">
        <v>46</v>
      </c>
      <c r="F3" s="2" t="s">
        <v>101</v>
      </c>
      <c r="G3" s="3" t="n">
        <v>16</v>
      </c>
      <c r="H3" s="1" t="s">
        <v>176</v>
      </c>
      <c r="I3" s="1" t="s">
        <v>177</v>
      </c>
      <c r="J3" s="1" t="s">
        <v>184</v>
      </c>
      <c r="K3" s="1" t="s">
        <v>179</v>
      </c>
      <c r="M3" s="1" t="s">
        <v>102</v>
      </c>
      <c r="N3" s="1" t="s">
        <v>30</v>
      </c>
      <c r="O3" s="1" t="s">
        <v>29</v>
      </c>
      <c r="P3" s="1" t="s">
        <v>103</v>
      </c>
      <c r="Q3" s="9" t="s">
        <v>104</v>
      </c>
      <c r="R3" s="1" t="s">
        <v>105</v>
      </c>
      <c r="S3" s="10" t="s">
        <v>33</v>
      </c>
      <c r="T3" s="10" t="s">
        <v>34</v>
      </c>
      <c r="U3" s="11" t="b">
        <f aca="false">FALSE()</f>
        <v>0</v>
      </c>
    </row>
    <row r="4" customFormat="false" ht="15" hidden="false" customHeight="true" outlineLevel="0" collapsed="false">
      <c r="A4" s="13" t="s">
        <v>185</v>
      </c>
      <c r="B4" s="8" t="n">
        <v>46357</v>
      </c>
      <c r="C4" s="2" t="str">
        <f aca="false">IF(B4="","",TEXT(B4,"dddd"))</f>
        <v>Tuesday</v>
      </c>
      <c r="D4" s="2" t="s">
        <v>129</v>
      </c>
      <c r="E4" s="2" t="s">
        <v>60</v>
      </c>
      <c r="F4" s="2" t="s">
        <v>186</v>
      </c>
      <c r="G4" s="3" t="n">
        <v>80</v>
      </c>
      <c r="H4" s="1" t="s">
        <v>176</v>
      </c>
      <c r="I4" s="1" t="s">
        <v>177</v>
      </c>
      <c r="J4" s="1" t="s">
        <v>178</v>
      </c>
      <c r="K4" s="1" t="s">
        <v>179</v>
      </c>
      <c r="L4" s="1" t="s">
        <v>187</v>
      </c>
      <c r="M4" s="1" t="s">
        <v>63</v>
      </c>
      <c r="N4" s="1" t="s">
        <v>29</v>
      </c>
      <c r="O4" s="1" t="s">
        <v>29</v>
      </c>
      <c r="P4" s="1" t="s">
        <v>188</v>
      </c>
      <c r="Q4" s="9" t="s">
        <v>65</v>
      </c>
      <c r="R4" s="1" t="s">
        <v>66</v>
      </c>
      <c r="S4" s="10" t="s">
        <v>60</v>
      </c>
      <c r="T4" s="10" t="s">
        <v>67</v>
      </c>
      <c r="U4" s="11" t="b">
        <f aca="false">FALSE()</f>
        <v>0</v>
      </c>
    </row>
    <row r="5" customFormat="false" ht="30" hidden="false" customHeight="true" outlineLevel="0" collapsed="false">
      <c r="A5" s="7" t="s">
        <v>189</v>
      </c>
      <c r="B5" s="8" t="n">
        <v>46358</v>
      </c>
      <c r="C5" s="2" t="str">
        <f aca="false">IF(B5="","",TEXT(B5,"dddd"))</f>
        <v>Wednesday</v>
      </c>
      <c r="D5" s="2" t="s">
        <v>45</v>
      </c>
      <c r="E5" s="2" t="s">
        <v>46</v>
      </c>
      <c r="F5" s="2" t="s">
        <v>38</v>
      </c>
      <c r="G5" s="3" t="n">
        <v>80</v>
      </c>
      <c r="H5" s="1" t="s">
        <v>176</v>
      </c>
      <c r="I5" s="1" t="s">
        <v>177</v>
      </c>
      <c r="J5" s="1" t="s">
        <v>178</v>
      </c>
      <c r="K5" s="1" t="s">
        <v>179</v>
      </c>
      <c r="L5" s="1" t="s">
        <v>190</v>
      </c>
      <c r="M5" s="1" t="s">
        <v>46</v>
      </c>
      <c r="N5" s="1" t="s">
        <v>29</v>
      </c>
      <c r="O5" s="1" t="s">
        <v>30</v>
      </c>
      <c r="Q5" s="9" t="s">
        <v>191</v>
      </c>
      <c r="R5" s="1" t="s">
        <v>49</v>
      </c>
      <c r="S5" s="10" t="s">
        <v>33</v>
      </c>
      <c r="T5" s="10" t="s">
        <v>34</v>
      </c>
      <c r="U5" s="11" t="b">
        <f aca="false">FALSE()</f>
        <v>0</v>
      </c>
    </row>
    <row r="6" customFormat="false" ht="30" hidden="false" customHeight="true" outlineLevel="0" collapsed="false">
      <c r="A6" s="14" t="s">
        <v>192</v>
      </c>
      <c r="B6" s="8" t="n">
        <v>46358</v>
      </c>
      <c r="C6" s="2" t="str">
        <f aca="false">IF(B6="","",TEXT(B6,"dddd"))</f>
        <v>Wednesday</v>
      </c>
      <c r="D6" s="2" t="s">
        <v>88</v>
      </c>
      <c r="E6" s="2" t="s">
        <v>91</v>
      </c>
      <c r="F6" s="2" t="s">
        <v>38</v>
      </c>
      <c r="G6" s="3" t="n">
        <v>80</v>
      </c>
      <c r="H6" s="1" t="s">
        <v>176</v>
      </c>
      <c r="I6" s="1" t="s">
        <v>177</v>
      </c>
      <c r="J6" s="1" t="s">
        <v>193</v>
      </c>
      <c r="K6" s="1" t="s">
        <v>194</v>
      </c>
      <c r="M6" s="1" t="s">
        <v>91</v>
      </c>
      <c r="N6" s="1" t="s">
        <v>30</v>
      </c>
      <c r="O6" s="1" t="s">
        <v>29</v>
      </c>
      <c r="Q6" s="9" t="s">
        <v>133</v>
      </c>
      <c r="S6" s="10" t="s">
        <v>33</v>
      </c>
      <c r="T6" s="10" t="s">
        <v>34</v>
      </c>
      <c r="U6" s="11" t="b">
        <f aca="false">FALSE()</f>
        <v>0</v>
      </c>
    </row>
    <row r="7" customFormat="false" ht="30" hidden="false" customHeight="true" outlineLevel="0" collapsed="false">
      <c r="A7" s="7" t="s">
        <v>195</v>
      </c>
      <c r="B7" s="8" t="n">
        <v>46358</v>
      </c>
      <c r="C7" s="2" t="str">
        <f aca="false">IF(B7="","",TEXT(B7,"dddd"))</f>
        <v>Wednesday</v>
      </c>
      <c r="D7" s="2" t="s">
        <v>196</v>
      </c>
      <c r="E7" s="2" t="s">
        <v>144</v>
      </c>
      <c r="F7" s="2" t="s">
        <v>197</v>
      </c>
      <c r="G7" s="3" t="n">
        <v>12</v>
      </c>
      <c r="H7" s="1" t="s">
        <v>176</v>
      </c>
      <c r="I7" s="1" t="s">
        <v>177</v>
      </c>
      <c r="J7" s="1" t="s">
        <v>184</v>
      </c>
      <c r="K7" s="1" t="s">
        <v>194</v>
      </c>
      <c r="M7" s="1" t="s">
        <v>144</v>
      </c>
      <c r="N7" s="1" t="s">
        <v>29</v>
      </c>
      <c r="O7" s="1" t="s">
        <v>30</v>
      </c>
      <c r="Q7" s="12" t="s">
        <v>198</v>
      </c>
      <c r="R7" s="1" t="s">
        <v>199</v>
      </c>
      <c r="S7" s="10" t="s">
        <v>33</v>
      </c>
      <c r="T7" s="10" t="s">
        <v>34</v>
      </c>
      <c r="U7" s="11" t="b">
        <f aca="false">FALSE()</f>
        <v>0</v>
      </c>
    </row>
    <row r="8" customFormat="false" ht="30" hidden="false" customHeight="true" outlineLevel="0" collapsed="false">
      <c r="A8" s="7" t="s">
        <v>200</v>
      </c>
      <c r="B8" s="8" t="n">
        <v>46360</v>
      </c>
      <c r="C8" s="2" t="str">
        <f aca="false">IF(B8="","",TEXT(B8,"dddd"))</f>
        <v>Friday</v>
      </c>
      <c r="D8" s="2" t="s">
        <v>201</v>
      </c>
      <c r="E8" s="2" t="s">
        <v>119</v>
      </c>
      <c r="F8" s="2" t="s">
        <v>38</v>
      </c>
      <c r="G8" s="3" t="n">
        <v>80</v>
      </c>
      <c r="H8" s="1" t="s">
        <v>176</v>
      </c>
      <c r="I8" s="1" t="s">
        <v>177</v>
      </c>
      <c r="J8" s="1" t="s">
        <v>178</v>
      </c>
      <c r="K8" s="1" t="s">
        <v>194</v>
      </c>
      <c r="L8" s="1" t="s">
        <v>187</v>
      </c>
      <c r="M8" s="1" t="s">
        <v>63</v>
      </c>
      <c r="N8" s="1" t="s">
        <v>29</v>
      </c>
      <c r="O8" s="1" t="s">
        <v>30</v>
      </c>
      <c r="P8" s="1" t="s">
        <v>114</v>
      </c>
      <c r="Q8" s="12" t="s">
        <v>202</v>
      </c>
      <c r="R8" s="1" t="s">
        <v>203</v>
      </c>
      <c r="S8" s="10" t="s">
        <v>33</v>
      </c>
      <c r="T8" s="10" t="s">
        <v>34</v>
      </c>
      <c r="U8" s="11" t="b">
        <f aca="false">FALSE()</f>
        <v>0</v>
      </c>
    </row>
    <row r="9" customFormat="false" ht="30" hidden="false" customHeight="true" outlineLevel="0" collapsed="false">
      <c r="A9" s="7" t="s">
        <v>204</v>
      </c>
      <c r="B9" s="8" t="n">
        <v>46363</v>
      </c>
      <c r="C9" s="2" t="str">
        <f aca="false">IF(B9="","",TEXT(B9,"dddd"))</f>
        <v>Monday</v>
      </c>
      <c r="D9" s="2" t="s">
        <v>51</v>
      </c>
      <c r="E9" s="2" t="s">
        <v>37</v>
      </c>
      <c r="F9" s="2" t="s">
        <v>38</v>
      </c>
      <c r="G9" s="3" t="n">
        <v>80</v>
      </c>
      <c r="H9" s="1" t="s">
        <v>176</v>
      </c>
      <c r="I9" s="1" t="s">
        <v>177</v>
      </c>
      <c r="J9" s="1" t="s">
        <v>178</v>
      </c>
      <c r="K9" s="1" t="s">
        <v>205</v>
      </c>
      <c r="L9" s="1" t="s">
        <v>206</v>
      </c>
      <c r="M9" s="1" t="s">
        <v>37</v>
      </c>
      <c r="N9" s="1" t="s">
        <v>29</v>
      </c>
      <c r="O9" s="1" t="s">
        <v>30</v>
      </c>
      <c r="Q9" s="12" t="s">
        <v>207</v>
      </c>
      <c r="R9" s="1" t="s">
        <v>208</v>
      </c>
      <c r="S9" s="10" t="s">
        <v>33</v>
      </c>
      <c r="T9" s="10" t="s">
        <v>34</v>
      </c>
      <c r="U9" s="11" t="b">
        <f aca="false">FALSE()</f>
        <v>0</v>
      </c>
    </row>
    <row r="10" customFormat="false" ht="30" hidden="false" customHeight="true" outlineLevel="0" collapsed="false">
      <c r="A10" s="7" t="s">
        <v>209</v>
      </c>
      <c r="B10" s="8" t="n">
        <v>46364</v>
      </c>
      <c r="C10" s="2" t="str">
        <f aca="false">IF(B10="","",TEXT(B10,"dddd"))</f>
        <v>Tuesday</v>
      </c>
      <c r="D10" s="2" t="s">
        <v>79</v>
      </c>
      <c r="E10" s="2" t="s">
        <v>210</v>
      </c>
      <c r="F10" s="2" t="s">
        <v>38</v>
      </c>
      <c r="G10" s="3" t="n">
        <v>80</v>
      </c>
      <c r="H10" s="1" t="s">
        <v>176</v>
      </c>
      <c r="I10" s="1" t="s">
        <v>177</v>
      </c>
      <c r="J10" s="1" t="s">
        <v>193</v>
      </c>
      <c r="K10" s="1" t="s">
        <v>211</v>
      </c>
      <c r="M10" s="1" t="s">
        <v>210</v>
      </c>
      <c r="N10" s="1" t="s">
        <v>29</v>
      </c>
      <c r="O10" s="1" t="s">
        <v>30</v>
      </c>
      <c r="P10" s="1" t="s">
        <v>212</v>
      </c>
      <c r="Q10" s="12" t="s">
        <v>213</v>
      </c>
      <c r="R10" s="1" t="s">
        <v>214</v>
      </c>
      <c r="S10" s="10" t="s">
        <v>33</v>
      </c>
      <c r="T10" s="10" t="s">
        <v>34</v>
      </c>
      <c r="U10" s="11" t="b">
        <f aca="false">FALSE()</f>
        <v>0</v>
      </c>
    </row>
    <row r="11" customFormat="false" ht="30" hidden="false" customHeight="true" outlineLevel="0" collapsed="false">
      <c r="A11" s="13" t="s">
        <v>215</v>
      </c>
      <c r="B11" s="8" t="n">
        <v>46365</v>
      </c>
      <c r="C11" s="2" t="str">
        <f aca="false">IF(B11="","",TEXT(B11,"dddd"))</f>
        <v>Wednesday</v>
      </c>
      <c r="D11" s="2" t="s">
        <v>216</v>
      </c>
      <c r="E11" s="2" t="s">
        <v>60</v>
      </c>
      <c r="F11" s="2" t="s">
        <v>217</v>
      </c>
      <c r="G11" s="3" t="n">
        <v>80</v>
      </c>
      <c r="H11" s="1" t="s">
        <v>176</v>
      </c>
      <c r="I11" s="1" t="s">
        <v>177</v>
      </c>
      <c r="J11" s="1" t="s">
        <v>178</v>
      </c>
      <c r="K11" s="1" t="s">
        <v>179</v>
      </c>
      <c r="L11" s="1" t="s">
        <v>218</v>
      </c>
      <c r="M11" s="1" t="s">
        <v>91</v>
      </c>
      <c r="N11" s="1" t="s">
        <v>29</v>
      </c>
      <c r="O11" s="1" t="s">
        <v>29</v>
      </c>
      <c r="P11" s="1" t="s">
        <v>219</v>
      </c>
      <c r="Q11" s="9" t="s">
        <v>65</v>
      </c>
      <c r="R11" s="1" t="s">
        <v>93</v>
      </c>
      <c r="S11" s="10" t="s">
        <v>60</v>
      </c>
      <c r="T11" s="10" t="s">
        <v>67</v>
      </c>
      <c r="U11" s="11" t="b">
        <f aca="false">FALSE()</f>
        <v>0</v>
      </c>
    </row>
    <row r="12" customFormat="false" ht="30" hidden="false" customHeight="true" outlineLevel="0" collapsed="false">
      <c r="A12" s="7" t="s">
        <v>220</v>
      </c>
      <c r="B12" s="8" t="n">
        <v>46366</v>
      </c>
      <c r="C12" s="2" t="str">
        <f aca="false">IF(B12="","",TEXT(B12,"dddd"))</f>
        <v>Thursday</v>
      </c>
      <c r="D12" s="2" t="s">
        <v>36</v>
      </c>
      <c r="E12" s="2" t="s">
        <v>107</v>
      </c>
      <c r="F12" s="2" t="s">
        <v>38</v>
      </c>
      <c r="G12" s="3" t="n">
        <v>80</v>
      </c>
      <c r="H12" s="1" t="s">
        <v>176</v>
      </c>
      <c r="I12" s="1" t="s">
        <v>177</v>
      </c>
      <c r="J12" s="1" t="s">
        <v>178</v>
      </c>
      <c r="K12" s="1" t="s">
        <v>221</v>
      </c>
      <c r="L12" s="1" t="s">
        <v>222</v>
      </c>
      <c r="M12" s="1" t="s">
        <v>107</v>
      </c>
      <c r="N12" s="1" t="s">
        <v>29</v>
      </c>
      <c r="O12" s="1" t="s">
        <v>30</v>
      </c>
      <c r="P12" s="1" t="s">
        <v>223</v>
      </c>
      <c r="Q12" s="12" t="s">
        <v>224</v>
      </c>
      <c r="R12" s="1" t="s">
        <v>225</v>
      </c>
      <c r="S12" s="10" t="s">
        <v>33</v>
      </c>
      <c r="T12" s="10" t="s">
        <v>34</v>
      </c>
      <c r="U12" s="11" t="b">
        <f aca="false">FALSE()</f>
        <v>0</v>
      </c>
    </row>
    <row r="13" customFormat="false" ht="30" hidden="false" customHeight="true" outlineLevel="0" collapsed="false">
      <c r="A13" s="7" t="s">
        <v>226</v>
      </c>
      <c r="B13" s="8" t="n">
        <v>46394</v>
      </c>
      <c r="C13" s="2" t="str">
        <f aca="false">IF(B13="","",TEXT(B13,"dddd"))</f>
        <v>Thursday</v>
      </c>
      <c r="D13" s="2" t="s">
        <v>88</v>
      </c>
      <c r="E13" s="2" t="s">
        <v>46</v>
      </c>
      <c r="F13" s="2" t="s">
        <v>38</v>
      </c>
      <c r="G13" s="3" t="n">
        <v>80</v>
      </c>
      <c r="H13" s="1" t="s">
        <v>176</v>
      </c>
      <c r="I13" s="1" t="s">
        <v>177</v>
      </c>
      <c r="J13" s="1" t="s">
        <v>193</v>
      </c>
      <c r="K13" s="1" t="s">
        <v>179</v>
      </c>
      <c r="M13" s="1" t="s">
        <v>102</v>
      </c>
      <c r="N13" s="1" t="s">
        <v>29</v>
      </c>
      <c r="O13" s="1" t="s">
        <v>30</v>
      </c>
      <c r="P13" s="1" t="s">
        <v>125</v>
      </c>
      <c r="Q13" s="12" t="s">
        <v>227</v>
      </c>
      <c r="R13" s="1" t="s">
        <v>228</v>
      </c>
      <c r="S13" s="10" t="s">
        <v>33</v>
      </c>
      <c r="T13" s="10" t="s">
        <v>34</v>
      </c>
      <c r="U13" s="11" t="b">
        <f aca="false">FALSE()</f>
        <v>0</v>
      </c>
    </row>
    <row r="14" customFormat="false" ht="30" hidden="false" customHeight="true" outlineLevel="0" collapsed="false">
      <c r="A14" s="7" t="s">
        <v>229</v>
      </c>
      <c r="B14" s="8" t="n">
        <v>46398</v>
      </c>
      <c r="C14" s="2" t="str">
        <f aca="false">IF(B14="","",TEXT(B14,"dddd"))</f>
        <v>Monday</v>
      </c>
      <c r="D14" s="2" t="s">
        <v>216</v>
      </c>
      <c r="E14" s="2" t="s">
        <v>144</v>
      </c>
      <c r="F14" s="2" t="s">
        <v>38</v>
      </c>
      <c r="G14" s="3" t="n">
        <v>80</v>
      </c>
      <c r="H14" s="1" t="s">
        <v>176</v>
      </c>
      <c r="I14" s="1" t="s">
        <v>177</v>
      </c>
      <c r="J14" s="1" t="s">
        <v>193</v>
      </c>
      <c r="K14" s="1" t="s">
        <v>194</v>
      </c>
      <c r="M14" s="1" t="s">
        <v>230</v>
      </c>
      <c r="N14" s="1" t="s">
        <v>29</v>
      </c>
      <c r="O14" s="1" t="s">
        <v>30</v>
      </c>
      <c r="P14" s="1" t="s">
        <v>231</v>
      </c>
      <c r="Q14" s="12" t="s">
        <v>232</v>
      </c>
      <c r="R14" s="1" t="s">
        <v>233</v>
      </c>
      <c r="S14" s="10" t="s">
        <v>33</v>
      </c>
      <c r="T14" s="10" t="s">
        <v>34</v>
      </c>
      <c r="U14" s="11" t="b">
        <f aca="false">FALSE()</f>
        <v>0</v>
      </c>
    </row>
    <row r="15" customFormat="false" ht="30" hidden="false" customHeight="true" outlineLevel="0" collapsed="false">
      <c r="A15" s="7" t="s">
        <v>234</v>
      </c>
      <c r="B15" s="8" t="n">
        <v>46400</v>
      </c>
      <c r="C15" s="2" t="str">
        <f aca="false">IF(B15="","",TEXT(B15,"dddd"))</f>
        <v>Wednesday</v>
      </c>
      <c r="D15" s="2" t="s">
        <v>235</v>
      </c>
      <c r="E15" s="2" t="s">
        <v>144</v>
      </c>
      <c r="F15" s="2" t="s">
        <v>38</v>
      </c>
      <c r="G15" s="3" t="n">
        <v>80</v>
      </c>
      <c r="H15" s="1" t="s">
        <v>176</v>
      </c>
      <c r="I15" s="1" t="s">
        <v>177</v>
      </c>
      <c r="J15" s="1" t="s">
        <v>193</v>
      </c>
      <c r="K15" s="1" t="s">
        <v>194</v>
      </c>
      <c r="M15" s="1" t="s">
        <v>144</v>
      </c>
      <c r="N15" s="1" t="s">
        <v>30</v>
      </c>
      <c r="O15" s="1" t="s">
        <v>30</v>
      </c>
      <c r="P15" s="1" t="s">
        <v>236</v>
      </c>
      <c r="Q15" s="12" t="s">
        <v>237</v>
      </c>
      <c r="R15" s="1" t="s">
        <v>238</v>
      </c>
      <c r="S15" s="10" t="s">
        <v>33</v>
      </c>
      <c r="T15" s="10" t="s">
        <v>34</v>
      </c>
      <c r="U15" s="11" t="b">
        <f aca="false">FALSE()</f>
        <v>0</v>
      </c>
    </row>
    <row r="16" customFormat="false" ht="30" hidden="false" customHeight="true" outlineLevel="0" collapsed="false">
      <c r="A16" s="7" t="s">
        <v>239</v>
      </c>
      <c r="B16" s="8" t="n">
        <v>46402</v>
      </c>
      <c r="C16" s="2" t="str">
        <f aca="false">IF(B16="","",TEXT(B16,"dddd"))</f>
        <v>Friday</v>
      </c>
      <c r="D16" s="2" t="s">
        <v>150</v>
      </c>
      <c r="E16" s="2" t="s">
        <v>107</v>
      </c>
      <c r="F16" s="2" t="s">
        <v>240</v>
      </c>
      <c r="G16" s="3" t="n">
        <v>20</v>
      </c>
      <c r="H16" s="1" t="s">
        <v>176</v>
      </c>
      <c r="I16" s="1" t="s">
        <v>177</v>
      </c>
      <c r="J16" s="1" t="s">
        <v>184</v>
      </c>
      <c r="K16" s="1" t="s">
        <v>221</v>
      </c>
      <c r="M16" s="1" t="s">
        <v>107</v>
      </c>
      <c r="N16" s="1" t="s">
        <v>29</v>
      </c>
      <c r="O16" s="1" t="s">
        <v>30</v>
      </c>
      <c r="P16" s="1" t="s">
        <v>241</v>
      </c>
      <c r="Q16" s="12" t="s">
        <v>242</v>
      </c>
      <c r="R16" s="1" t="s">
        <v>243</v>
      </c>
      <c r="S16" s="10" t="s">
        <v>33</v>
      </c>
      <c r="T16" s="10" t="s">
        <v>34</v>
      </c>
      <c r="U16" s="11" t="b">
        <f aca="false">FALSE()</f>
        <v>0</v>
      </c>
    </row>
    <row r="17" customFormat="false" ht="30" hidden="false" customHeight="true" outlineLevel="0" collapsed="false">
      <c r="A17" s="7" t="s">
        <v>244</v>
      </c>
      <c r="B17" s="8" t="n">
        <v>46405</v>
      </c>
      <c r="C17" s="2" t="str">
        <f aca="false">IF(B17="","",TEXT(B17,"dddd"))</f>
        <v>Monday</v>
      </c>
      <c r="D17" s="2" t="s">
        <v>245</v>
      </c>
      <c r="E17" s="2" t="s">
        <v>52</v>
      </c>
      <c r="F17" s="2" t="s">
        <v>246</v>
      </c>
      <c r="G17" s="3" t="n">
        <v>6</v>
      </c>
      <c r="H17" s="1" t="s">
        <v>176</v>
      </c>
      <c r="I17" s="1" t="s">
        <v>177</v>
      </c>
      <c r="J17" s="1" t="s">
        <v>184</v>
      </c>
      <c r="K17" s="1" t="s">
        <v>247</v>
      </c>
      <c r="M17" s="1" t="s">
        <v>52</v>
      </c>
      <c r="N17" s="1" t="s">
        <v>29</v>
      </c>
      <c r="O17" s="1" t="s">
        <v>30</v>
      </c>
      <c r="Q17" s="12" t="s">
        <v>248</v>
      </c>
      <c r="R17" s="1" t="s">
        <v>249</v>
      </c>
      <c r="S17" s="10" t="s">
        <v>33</v>
      </c>
      <c r="T17" s="10" t="s">
        <v>34</v>
      </c>
      <c r="U17" s="11" t="b">
        <f aca="false">FALSE()</f>
        <v>0</v>
      </c>
    </row>
    <row r="18" customFormat="false" ht="30" hidden="false" customHeight="true" outlineLevel="0" collapsed="false">
      <c r="A18" s="7" t="s">
        <v>250</v>
      </c>
      <c r="B18" s="8" t="n">
        <v>46407</v>
      </c>
      <c r="C18" s="2" t="str">
        <f aca="false">IF(B18="","",TEXT(B18,"dddd"))</f>
        <v>Wednesday</v>
      </c>
      <c r="D18" s="2" t="s">
        <v>245</v>
      </c>
      <c r="E18" s="2" t="s">
        <v>52</v>
      </c>
      <c r="F18" s="2" t="s">
        <v>246</v>
      </c>
      <c r="G18" s="3" t="n">
        <v>6</v>
      </c>
      <c r="H18" s="1" t="s">
        <v>176</v>
      </c>
      <c r="I18" s="1" t="s">
        <v>177</v>
      </c>
      <c r="J18" s="1" t="s">
        <v>184</v>
      </c>
      <c r="K18" s="1" t="s">
        <v>247</v>
      </c>
      <c r="M18" s="1" t="s">
        <v>52</v>
      </c>
      <c r="N18" s="1" t="s">
        <v>29</v>
      </c>
      <c r="O18" s="1" t="s">
        <v>30</v>
      </c>
      <c r="Q18" s="12" t="s">
        <v>251</v>
      </c>
      <c r="R18" s="1" t="s">
        <v>249</v>
      </c>
      <c r="S18" s="10" t="s">
        <v>33</v>
      </c>
      <c r="T18" s="10" t="s">
        <v>34</v>
      </c>
      <c r="U18" s="11" t="b">
        <f aca="false">FALSE()</f>
        <v>0</v>
      </c>
    </row>
    <row r="19" customFormat="false" ht="30" hidden="false" customHeight="true" outlineLevel="0" collapsed="false">
      <c r="A19" s="7" t="s">
        <v>252</v>
      </c>
      <c r="B19" s="8" t="n">
        <v>46407</v>
      </c>
      <c r="C19" s="2" t="str">
        <f aca="false">IF(B19="","",TEXT(B19,"dddd"))</f>
        <v>Wednesday</v>
      </c>
      <c r="D19" s="2" t="s">
        <v>88</v>
      </c>
      <c r="E19" s="2" t="s">
        <v>46</v>
      </c>
      <c r="F19" s="2" t="s">
        <v>38</v>
      </c>
      <c r="G19" s="3" t="n">
        <v>80</v>
      </c>
      <c r="H19" s="1" t="s">
        <v>176</v>
      </c>
      <c r="I19" s="1" t="s">
        <v>177</v>
      </c>
      <c r="J19" s="1" t="s">
        <v>193</v>
      </c>
      <c r="K19" s="1" t="s">
        <v>179</v>
      </c>
      <c r="M19" s="1" t="s">
        <v>102</v>
      </c>
      <c r="N19" s="1" t="s">
        <v>29</v>
      </c>
      <c r="O19" s="1" t="s">
        <v>30</v>
      </c>
      <c r="P19" s="1" t="s">
        <v>253</v>
      </c>
      <c r="Q19" s="9" t="s">
        <v>254</v>
      </c>
      <c r="R19" s="1" t="s">
        <v>255</v>
      </c>
      <c r="S19" s="10" t="s">
        <v>33</v>
      </c>
      <c r="T19" s="10" t="s">
        <v>34</v>
      </c>
      <c r="U19" s="11" t="b">
        <f aca="false">FALSE()</f>
        <v>0</v>
      </c>
    </row>
    <row r="20" customFormat="false" ht="30" hidden="false" customHeight="true" outlineLevel="0" collapsed="false">
      <c r="A20" s="7" t="s">
        <v>256</v>
      </c>
      <c r="B20" s="8" t="n">
        <v>46408</v>
      </c>
      <c r="C20" s="2" t="str">
        <f aca="false">IF(B20="","",TEXT(B20,"dddd"))</f>
        <v>Thursday</v>
      </c>
      <c r="D20" s="2" t="s">
        <v>36</v>
      </c>
      <c r="E20" s="2" t="s">
        <v>144</v>
      </c>
      <c r="F20" s="2" t="s">
        <v>38</v>
      </c>
      <c r="G20" s="3" t="n">
        <v>80</v>
      </c>
      <c r="H20" s="1" t="s">
        <v>176</v>
      </c>
      <c r="I20" s="1" t="s">
        <v>177</v>
      </c>
      <c r="J20" s="1" t="s">
        <v>178</v>
      </c>
      <c r="K20" s="1" t="s">
        <v>194</v>
      </c>
      <c r="L20" s="1" t="s">
        <v>257</v>
      </c>
      <c r="M20" s="1" t="s">
        <v>144</v>
      </c>
      <c r="N20" s="1" t="s">
        <v>29</v>
      </c>
      <c r="O20" s="1" t="s">
        <v>30</v>
      </c>
      <c r="Q20" s="12" t="s">
        <v>258</v>
      </c>
      <c r="R20" s="1" t="s">
        <v>259</v>
      </c>
      <c r="S20" s="10" t="s">
        <v>33</v>
      </c>
      <c r="T20" s="10" t="s">
        <v>34</v>
      </c>
      <c r="U20" s="11" t="b">
        <f aca="false">FALSE()</f>
        <v>0</v>
      </c>
    </row>
    <row r="21" customFormat="false" ht="30" hidden="false" customHeight="true" outlineLevel="0" collapsed="false">
      <c r="A21" s="7" t="s">
        <v>260</v>
      </c>
      <c r="B21" s="8" t="n">
        <v>46408</v>
      </c>
      <c r="C21" s="2" t="str">
        <f aca="false">IF(B21="","",TEXT(B21,"dddd"))</f>
        <v>Thursday</v>
      </c>
      <c r="D21" s="2" t="s">
        <v>59</v>
      </c>
      <c r="E21" s="2" t="s">
        <v>261</v>
      </c>
      <c r="F21" s="2" t="s">
        <v>38</v>
      </c>
      <c r="G21" s="3" t="n">
        <v>80</v>
      </c>
      <c r="H21" s="1" t="s">
        <v>176</v>
      </c>
      <c r="I21" s="1" t="s">
        <v>177</v>
      </c>
      <c r="J21" s="1" t="s">
        <v>193</v>
      </c>
      <c r="K21" s="1" t="s">
        <v>194</v>
      </c>
      <c r="M21" s="1" t="s">
        <v>261</v>
      </c>
      <c r="N21" s="1" t="s">
        <v>29</v>
      </c>
      <c r="O21" s="1" t="s">
        <v>30</v>
      </c>
      <c r="P21" s="1" t="s">
        <v>262</v>
      </c>
      <c r="Q21" s="12" t="s">
        <v>263</v>
      </c>
      <c r="R21" s="1" t="s">
        <v>264</v>
      </c>
      <c r="S21" s="10" t="s">
        <v>33</v>
      </c>
      <c r="T21" s="10" t="s">
        <v>34</v>
      </c>
      <c r="U21" s="11" t="b">
        <f aca="false">FALSE()</f>
        <v>0</v>
      </c>
    </row>
    <row r="22" customFormat="false" ht="30" hidden="false" customHeight="true" outlineLevel="0" collapsed="false">
      <c r="A22" s="7" t="s">
        <v>265</v>
      </c>
      <c r="B22" s="8" t="n">
        <v>46414</v>
      </c>
      <c r="C22" s="2" t="str">
        <f aca="false">IF(B22="","",TEXT(B22,"dddd"))</f>
        <v>Wednesday</v>
      </c>
      <c r="D22" s="2" t="s">
        <v>84</v>
      </c>
      <c r="E22" s="2" t="s">
        <v>63</v>
      </c>
      <c r="F22" s="2" t="s">
        <v>38</v>
      </c>
      <c r="G22" s="3" t="n">
        <v>80</v>
      </c>
      <c r="H22" s="1" t="s">
        <v>176</v>
      </c>
      <c r="I22" s="1" t="s">
        <v>177</v>
      </c>
      <c r="J22" s="1" t="s">
        <v>193</v>
      </c>
      <c r="K22" s="1" t="s">
        <v>194</v>
      </c>
      <c r="M22" s="1" t="s">
        <v>266</v>
      </c>
      <c r="N22" s="1" t="s">
        <v>30</v>
      </c>
      <c r="O22" s="1" t="s">
        <v>30</v>
      </c>
      <c r="P22" s="1" t="s">
        <v>267</v>
      </c>
      <c r="Q22" s="12" t="s">
        <v>268</v>
      </c>
      <c r="R22" s="1" t="s">
        <v>269</v>
      </c>
      <c r="S22" s="10" t="s">
        <v>33</v>
      </c>
      <c r="T22" s="10" t="s">
        <v>34</v>
      </c>
      <c r="U22" s="11" t="b">
        <f aca="false">FALSE()</f>
        <v>0</v>
      </c>
    </row>
    <row r="23" customFormat="false" ht="30" hidden="false" customHeight="true" outlineLevel="0" collapsed="false">
      <c r="A23" s="15" t="s">
        <v>270</v>
      </c>
      <c r="B23" s="8" t="n">
        <v>46416</v>
      </c>
      <c r="C23" s="2" t="str">
        <f aca="false">IF(B23="","",TEXT(B23,"dddd"))</f>
        <v>Friday</v>
      </c>
      <c r="D23" s="2" t="s">
        <v>271</v>
      </c>
      <c r="E23" s="2" t="s">
        <v>37</v>
      </c>
      <c r="F23" s="2" t="s">
        <v>24</v>
      </c>
      <c r="G23" s="3" t="n">
        <v>24</v>
      </c>
      <c r="H23" s="1" t="s">
        <v>176</v>
      </c>
      <c r="I23" s="1" t="s">
        <v>177</v>
      </c>
      <c r="J23" s="1" t="s">
        <v>184</v>
      </c>
      <c r="K23" s="1" t="s">
        <v>205</v>
      </c>
      <c r="M23" s="1" t="s">
        <v>37</v>
      </c>
      <c r="N23" s="1" t="s">
        <v>29</v>
      </c>
      <c r="O23" s="1" t="s">
        <v>30</v>
      </c>
      <c r="Q23" s="9" t="s">
        <v>272</v>
      </c>
      <c r="R23" s="1" t="s">
        <v>273</v>
      </c>
      <c r="S23" s="10" t="s">
        <v>33</v>
      </c>
      <c r="T23" s="10" t="s">
        <v>34</v>
      </c>
      <c r="U23" s="11" t="b">
        <f aca="false">FALSE()</f>
        <v>0</v>
      </c>
    </row>
    <row r="24" customFormat="false" ht="15" hidden="false" customHeight="true" outlineLevel="0" collapsed="false">
      <c r="A24" s="7" t="s">
        <v>274</v>
      </c>
      <c r="B24" s="8" t="n">
        <v>46420</v>
      </c>
      <c r="C24" s="2" t="str">
        <f aca="false">IF(B24="","",TEXT(B24,"dddd"))</f>
        <v>Tuesday</v>
      </c>
      <c r="D24" s="2" t="s">
        <v>113</v>
      </c>
      <c r="E24" s="2" t="s">
        <v>91</v>
      </c>
      <c r="F24" s="2" t="s">
        <v>38</v>
      </c>
      <c r="G24" s="3" t="n">
        <v>80</v>
      </c>
      <c r="H24" s="1" t="s">
        <v>176</v>
      </c>
      <c r="I24" s="1" t="s">
        <v>177</v>
      </c>
      <c r="J24" s="1" t="s">
        <v>178</v>
      </c>
      <c r="K24" s="1" t="s">
        <v>194</v>
      </c>
      <c r="L24" s="1" t="s">
        <v>218</v>
      </c>
      <c r="M24" s="1" t="s">
        <v>91</v>
      </c>
      <c r="N24" s="1" t="s">
        <v>29</v>
      </c>
      <c r="O24" s="1" t="s">
        <v>30</v>
      </c>
      <c r="P24" s="1" t="s">
        <v>114</v>
      </c>
      <c r="Q24" s="9" t="s">
        <v>275</v>
      </c>
      <c r="R24" s="1" t="s">
        <v>276</v>
      </c>
      <c r="S24" s="10" t="s">
        <v>33</v>
      </c>
      <c r="T24" s="10" t="s">
        <v>34</v>
      </c>
      <c r="U24" s="11" t="b">
        <f aca="false">FALSE()</f>
        <v>0</v>
      </c>
    </row>
    <row r="25" customFormat="false" ht="15" hidden="false" customHeight="true" outlineLevel="0" collapsed="false">
      <c r="A25" s="7" t="s">
        <v>277</v>
      </c>
      <c r="B25" s="8" t="n">
        <v>46420</v>
      </c>
      <c r="C25" s="2" t="str">
        <f aca="false">IF(B25="","",TEXT(B25,"dddd"))</f>
        <v>Tuesday</v>
      </c>
      <c r="D25" s="2" t="s">
        <v>245</v>
      </c>
      <c r="E25" s="2" t="s">
        <v>52</v>
      </c>
      <c r="F25" s="2" t="s">
        <v>278</v>
      </c>
      <c r="G25" s="3" t="n">
        <v>6</v>
      </c>
      <c r="H25" s="1" t="s">
        <v>176</v>
      </c>
      <c r="I25" s="1" t="s">
        <v>177</v>
      </c>
      <c r="J25" s="1" t="s">
        <v>184</v>
      </c>
      <c r="K25" s="1" t="s">
        <v>247</v>
      </c>
      <c r="M25" s="1" t="s">
        <v>52</v>
      </c>
      <c r="N25" s="1" t="s">
        <v>29</v>
      </c>
      <c r="O25" s="1" t="s">
        <v>30</v>
      </c>
      <c r="P25" s="1" t="s">
        <v>279</v>
      </c>
      <c r="Q25" s="12" t="s">
        <v>280</v>
      </c>
      <c r="R25" s="1" t="s">
        <v>281</v>
      </c>
      <c r="S25" s="10" t="s">
        <v>33</v>
      </c>
      <c r="T25" s="10" t="s">
        <v>34</v>
      </c>
      <c r="U25" s="11" t="b">
        <f aca="false">FALSE()</f>
        <v>0</v>
      </c>
    </row>
    <row r="26" customFormat="false" ht="15" hidden="false" customHeight="true" outlineLevel="0" collapsed="false">
      <c r="A26" s="7" t="s">
        <v>282</v>
      </c>
      <c r="B26" s="8" t="n">
        <v>46420</v>
      </c>
      <c r="C26" s="2" t="str">
        <f aca="false">IF(B26="","",TEXT(B26,"dddd"))</f>
        <v>Tuesday</v>
      </c>
      <c r="D26" s="2" t="s">
        <v>79</v>
      </c>
      <c r="E26" s="2" t="s">
        <v>23</v>
      </c>
      <c r="F26" s="2" t="s">
        <v>38</v>
      </c>
      <c r="G26" s="3" t="n">
        <v>40</v>
      </c>
      <c r="H26" s="1" t="s">
        <v>176</v>
      </c>
      <c r="I26" s="1" t="s">
        <v>177</v>
      </c>
      <c r="J26" s="1" t="s">
        <v>193</v>
      </c>
      <c r="K26" s="1" t="s">
        <v>179</v>
      </c>
      <c r="M26" s="1" t="s">
        <v>23</v>
      </c>
      <c r="N26" s="1" t="s">
        <v>29</v>
      </c>
      <c r="O26" s="1" t="s">
        <v>30</v>
      </c>
      <c r="P26" s="1" t="s">
        <v>283</v>
      </c>
      <c r="Q26" s="12" t="s">
        <v>284</v>
      </c>
      <c r="R26" s="1" t="s">
        <v>285</v>
      </c>
      <c r="S26" s="10" t="s">
        <v>33</v>
      </c>
      <c r="T26" s="10" t="s">
        <v>34</v>
      </c>
      <c r="U26" s="11" t="b">
        <f aca="false">FALSE()</f>
        <v>0</v>
      </c>
    </row>
    <row r="27" customFormat="false" ht="15" hidden="false" customHeight="true" outlineLevel="0" collapsed="false">
      <c r="A27" s="7" t="s">
        <v>286</v>
      </c>
      <c r="B27" s="8" t="n">
        <v>46421</v>
      </c>
      <c r="C27" s="2" t="str">
        <f aca="false">IF(B27="","",TEXT(B27,"dddd"))</f>
        <v>Wednesday</v>
      </c>
      <c r="D27" s="2" t="s">
        <v>196</v>
      </c>
      <c r="E27" s="2" t="s">
        <v>144</v>
      </c>
      <c r="F27" s="2" t="s">
        <v>197</v>
      </c>
      <c r="G27" s="3" t="n">
        <v>12</v>
      </c>
      <c r="H27" s="1" t="s">
        <v>176</v>
      </c>
      <c r="I27" s="1" t="s">
        <v>177</v>
      </c>
      <c r="J27" s="1" t="s">
        <v>184</v>
      </c>
      <c r="K27" s="1" t="s">
        <v>194</v>
      </c>
      <c r="M27" s="1" t="s">
        <v>144</v>
      </c>
      <c r="N27" s="1" t="s">
        <v>29</v>
      </c>
      <c r="O27" s="1" t="s">
        <v>30</v>
      </c>
      <c r="Q27" s="12" t="s">
        <v>287</v>
      </c>
      <c r="R27" s="1" t="s">
        <v>199</v>
      </c>
      <c r="S27" s="10" t="s">
        <v>33</v>
      </c>
      <c r="T27" s="10" t="s">
        <v>34</v>
      </c>
      <c r="U27" s="11" t="b">
        <f aca="false">FALSE()</f>
        <v>0</v>
      </c>
    </row>
    <row r="28" customFormat="false" ht="15" hidden="false" customHeight="true" outlineLevel="0" collapsed="false">
      <c r="A28" s="7" t="s">
        <v>288</v>
      </c>
      <c r="B28" s="8" t="n">
        <v>46421</v>
      </c>
      <c r="C28" s="2" t="str">
        <f aca="false">IF(B28="","",TEXT(B28,"dddd"))</f>
        <v>Wednesday</v>
      </c>
      <c r="D28" s="2" t="s">
        <v>45</v>
      </c>
      <c r="E28" s="2" t="s">
        <v>46</v>
      </c>
      <c r="F28" s="2" t="s">
        <v>38</v>
      </c>
      <c r="G28" s="3" t="n">
        <v>80</v>
      </c>
      <c r="H28" s="1" t="s">
        <v>176</v>
      </c>
      <c r="I28" s="1" t="s">
        <v>177</v>
      </c>
      <c r="J28" s="1" t="s">
        <v>178</v>
      </c>
      <c r="K28" s="1" t="s">
        <v>179</v>
      </c>
      <c r="L28" s="1" t="s">
        <v>190</v>
      </c>
      <c r="M28" s="1" t="s">
        <v>46</v>
      </c>
      <c r="N28" s="1" t="s">
        <v>29</v>
      </c>
      <c r="O28" s="1" t="s">
        <v>30</v>
      </c>
      <c r="Q28" s="9" t="s">
        <v>289</v>
      </c>
      <c r="R28" s="1" t="s">
        <v>49</v>
      </c>
      <c r="S28" s="10" t="s">
        <v>33</v>
      </c>
      <c r="T28" s="10" t="s">
        <v>34</v>
      </c>
      <c r="U28" s="11" t="b">
        <f aca="false">FALSE()</f>
        <v>0</v>
      </c>
    </row>
    <row r="29" customFormat="false" ht="15.75" hidden="false" customHeight="true" outlineLevel="0" collapsed="false">
      <c r="A29" s="7" t="s">
        <v>290</v>
      </c>
      <c r="B29" s="8" t="n">
        <v>46422</v>
      </c>
      <c r="C29" s="2" t="str">
        <f aca="false">IF(B29="","",TEXT(B29,"dddd"))</f>
        <v>Thursday</v>
      </c>
      <c r="D29" s="2" t="s">
        <v>245</v>
      </c>
      <c r="E29" s="2" t="s">
        <v>52</v>
      </c>
      <c r="F29" s="2" t="s">
        <v>278</v>
      </c>
      <c r="G29" s="3" t="n">
        <v>6</v>
      </c>
      <c r="H29" s="1" t="s">
        <v>176</v>
      </c>
      <c r="I29" s="1" t="s">
        <v>177</v>
      </c>
      <c r="J29" s="1" t="s">
        <v>184</v>
      </c>
      <c r="K29" s="1" t="s">
        <v>247</v>
      </c>
      <c r="M29" s="1" t="s">
        <v>52</v>
      </c>
      <c r="N29" s="1" t="s">
        <v>29</v>
      </c>
      <c r="O29" s="1" t="s">
        <v>30</v>
      </c>
      <c r="P29" s="1" t="s">
        <v>279</v>
      </c>
      <c r="Q29" s="12" t="s">
        <v>291</v>
      </c>
      <c r="R29" s="1" t="s">
        <v>281</v>
      </c>
      <c r="S29" s="10" t="s">
        <v>33</v>
      </c>
      <c r="T29" s="10" t="s">
        <v>34</v>
      </c>
      <c r="U29" s="11" t="b">
        <f aca="false">FALSE()</f>
        <v>0</v>
      </c>
    </row>
    <row r="30" customFormat="false" ht="15.75" hidden="false" customHeight="true" outlineLevel="0" collapsed="false">
      <c r="A30" s="7" t="s">
        <v>292</v>
      </c>
      <c r="B30" s="8" t="n">
        <v>46422</v>
      </c>
      <c r="C30" s="2" t="str">
        <f aca="false">IF(B30="","",TEXT(B30,"dddd"))</f>
        <v>Thursday</v>
      </c>
      <c r="D30" s="2" t="s">
        <v>59</v>
      </c>
      <c r="E30" s="2" t="s">
        <v>261</v>
      </c>
      <c r="F30" s="2" t="s">
        <v>38</v>
      </c>
      <c r="G30" s="3" t="n">
        <v>80</v>
      </c>
      <c r="H30" s="1" t="s">
        <v>176</v>
      </c>
      <c r="I30" s="1" t="s">
        <v>177</v>
      </c>
      <c r="J30" s="1" t="s">
        <v>193</v>
      </c>
      <c r="K30" s="1" t="s">
        <v>194</v>
      </c>
      <c r="M30" s="1" t="s">
        <v>261</v>
      </c>
      <c r="N30" s="1" t="s">
        <v>29</v>
      </c>
      <c r="O30" s="1" t="s">
        <v>30</v>
      </c>
      <c r="P30" s="1" t="s">
        <v>262</v>
      </c>
      <c r="Q30" s="12" t="s">
        <v>293</v>
      </c>
      <c r="R30" s="1" t="s">
        <v>294</v>
      </c>
      <c r="S30" s="10" t="s">
        <v>33</v>
      </c>
      <c r="T30" s="10" t="s">
        <v>34</v>
      </c>
      <c r="U30" s="11" t="b">
        <f aca="false">FALSE()</f>
        <v>0</v>
      </c>
    </row>
    <row r="31" customFormat="false" ht="15.75" hidden="false" customHeight="true" outlineLevel="0" collapsed="false">
      <c r="A31" s="15" t="s">
        <v>295</v>
      </c>
      <c r="B31" s="8" t="n">
        <v>46423</v>
      </c>
      <c r="C31" s="2" t="str">
        <f aca="false">IF(B31="","",TEXT(B31,"dddd"))</f>
        <v>Friday</v>
      </c>
      <c r="D31" s="2" t="s">
        <v>271</v>
      </c>
      <c r="E31" s="2" t="s">
        <v>37</v>
      </c>
      <c r="F31" s="2" t="s">
        <v>24</v>
      </c>
      <c r="G31" s="3" t="n">
        <v>24</v>
      </c>
      <c r="H31" s="1" t="s">
        <v>176</v>
      </c>
      <c r="I31" s="1" t="s">
        <v>177</v>
      </c>
      <c r="J31" s="1" t="s">
        <v>184</v>
      </c>
      <c r="K31" s="1" t="s">
        <v>205</v>
      </c>
      <c r="M31" s="1" t="s">
        <v>37</v>
      </c>
      <c r="N31" s="1" t="s">
        <v>29</v>
      </c>
      <c r="O31" s="1" t="s">
        <v>30</v>
      </c>
      <c r="Q31" s="9" t="s">
        <v>296</v>
      </c>
      <c r="R31" s="1" t="s">
        <v>273</v>
      </c>
      <c r="S31" s="10" t="s">
        <v>33</v>
      </c>
      <c r="T31" s="10" t="s">
        <v>34</v>
      </c>
      <c r="U31" s="11" t="b">
        <f aca="false">FALSE()</f>
        <v>0</v>
      </c>
    </row>
    <row r="32" customFormat="false" ht="15.75" hidden="false" customHeight="true" outlineLevel="0" collapsed="false">
      <c r="A32" s="7" t="s">
        <v>297</v>
      </c>
      <c r="B32" s="8" t="n">
        <v>46426</v>
      </c>
      <c r="C32" s="2" t="str">
        <f aca="false">IF(B32="","",TEXT(B32,"dddd"))</f>
        <v>Monday</v>
      </c>
      <c r="D32" s="2" t="s">
        <v>51</v>
      </c>
      <c r="E32" s="2" t="s">
        <v>37</v>
      </c>
      <c r="F32" s="2" t="s">
        <v>38</v>
      </c>
      <c r="G32" s="3" t="n">
        <v>80</v>
      </c>
      <c r="H32" s="1" t="s">
        <v>176</v>
      </c>
      <c r="I32" s="1" t="s">
        <v>177</v>
      </c>
      <c r="J32" s="1" t="s">
        <v>178</v>
      </c>
      <c r="K32" s="1" t="s">
        <v>205</v>
      </c>
      <c r="L32" s="1" t="s">
        <v>206</v>
      </c>
      <c r="M32" s="1" t="s">
        <v>37</v>
      </c>
      <c r="N32" s="1" t="s">
        <v>29</v>
      </c>
      <c r="O32" s="1" t="s">
        <v>30</v>
      </c>
      <c r="Q32" s="12" t="s">
        <v>298</v>
      </c>
      <c r="R32" s="1" t="s">
        <v>299</v>
      </c>
      <c r="S32" s="10" t="s">
        <v>33</v>
      </c>
      <c r="T32" s="10" t="s">
        <v>34</v>
      </c>
      <c r="U32" s="11" t="b">
        <f aca="false">FALSE()</f>
        <v>0</v>
      </c>
    </row>
    <row r="33" customFormat="false" ht="15.75" hidden="false" customHeight="true" outlineLevel="0" collapsed="false">
      <c r="A33" s="7" t="s">
        <v>300</v>
      </c>
      <c r="B33" s="8" t="n">
        <v>46427</v>
      </c>
      <c r="C33" s="2" t="str">
        <f aca="false">IF(B33="","",TEXT(B33,"dddd"))</f>
        <v>Tuesday</v>
      </c>
      <c r="D33" s="2" t="s">
        <v>88</v>
      </c>
      <c r="E33" s="2" t="s">
        <v>46</v>
      </c>
      <c r="F33" s="2" t="s">
        <v>38</v>
      </c>
      <c r="G33" s="3" t="n">
        <v>80</v>
      </c>
      <c r="H33" s="1" t="s">
        <v>176</v>
      </c>
      <c r="I33" s="1" t="s">
        <v>177</v>
      </c>
      <c r="J33" s="1" t="s">
        <v>193</v>
      </c>
      <c r="K33" s="1" t="s">
        <v>179</v>
      </c>
      <c r="M33" s="1" t="s">
        <v>102</v>
      </c>
      <c r="N33" s="1" t="s">
        <v>29</v>
      </c>
      <c r="O33" s="1" t="s">
        <v>30</v>
      </c>
      <c r="P33" s="1" t="s">
        <v>253</v>
      </c>
      <c r="Q33" s="9" t="s">
        <v>301</v>
      </c>
      <c r="R33" s="1" t="s">
        <v>302</v>
      </c>
      <c r="S33" s="10" t="s">
        <v>33</v>
      </c>
      <c r="T33" s="10" t="s">
        <v>34</v>
      </c>
      <c r="U33" s="11" t="b">
        <f aca="false">FALSE()</f>
        <v>0</v>
      </c>
    </row>
    <row r="34" customFormat="false" ht="15.75" hidden="false" customHeight="true" outlineLevel="0" collapsed="false">
      <c r="A34" s="13" t="s">
        <v>303</v>
      </c>
      <c r="B34" s="8" t="n">
        <v>46427</v>
      </c>
      <c r="C34" s="2" t="str">
        <f aca="false">IF(B34="","",TEXT(B34,"dddd"))</f>
        <v>Tuesday</v>
      </c>
      <c r="D34" s="2" t="s">
        <v>59</v>
      </c>
      <c r="E34" s="2" t="s">
        <v>60</v>
      </c>
      <c r="F34" s="2" t="s">
        <v>304</v>
      </c>
      <c r="G34" s="3" t="n">
        <v>80</v>
      </c>
      <c r="H34" s="1" t="s">
        <v>176</v>
      </c>
      <c r="I34" s="1" t="s">
        <v>177</v>
      </c>
      <c r="J34" s="1" t="s">
        <v>178</v>
      </c>
      <c r="K34" s="1" t="s">
        <v>179</v>
      </c>
      <c r="L34" s="1" t="s">
        <v>187</v>
      </c>
      <c r="M34" s="1" t="s">
        <v>63</v>
      </c>
      <c r="N34" s="1" t="s">
        <v>29</v>
      </c>
      <c r="O34" s="1" t="s">
        <v>29</v>
      </c>
      <c r="P34" s="1" t="s">
        <v>305</v>
      </c>
      <c r="Q34" s="9" t="s">
        <v>65</v>
      </c>
      <c r="R34" s="1" t="s">
        <v>66</v>
      </c>
      <c r="S34" s="10" t="s">
        <v>60</v>
      </c>
      <c r="T34" s="10" t="s">
        <v>67</v>
      </c>
      <c r="U34" s="11" t="b">
        <f aca="false">FALSE()</f>
        <v>0</v>
      </c>
    </row>
    <row r="35" customFormat="false" ht="15.75" hidden="false" customHeight="true" outlineLevel="0" collapsed="false">
      <c r="A35" s="14" t="s">
        <v>306</v>
      </c>
      <c r="B35" s="8" t="n">
        <v>46428</v>
      </c>
      <c r="C35" s="2" t="str">
        <f aca="false">IF(B35="","",TEXT(B35,"dddd"))</f>
        <v>Wednesday</v>
      </c>
      <c r="D35" s="2" t="s">
        <v>84</v>
      </c>
      <c r="E35" s="2" t="s">
        <v>63</v>
      </c>
      <c r="F35" s="2" t="s">
        <v>38</v>
      </c>
      <c r="G35" s="3" t="n">
        <v>80</v>
      </c>
      <c r="H35" s="1" t="s">
        <v>176</v>
      </c>
      <c r="I35" s="1" t="s">
        <v>177</v>
      </c>
      <c r="J35" s="1" t="s">
        <v>193</v>
      </c>
      <c r="K35" s="1" t="s">
        <v>194</v>
      </c>
      <c r="M35" s="1" t="s">
        <v>266</v>
      </c>
      <c r="N35" s="1" t="s">
        <v>30</v>
      </c>
      <c r="O35" s="1" t="s">
        <v>29</v>
      </c>
      <c r="P35" s="1" t="s">
        <v>267</v>
      </c>
      <c r="Q35" s="12" t="s">
        <v>268</v>
      </c>
      <c r="S35" s="10" t="s">
        <v>33</v>
      </c>
      <c r="T35" s="10" t="s">
        <v>34</v>
      </c>
      <c r="U35" s="11" t="b">
        <f aca="false">FALSE()</f>
        <v>0</v>
      </c>
    </row>
    <row r="36" customFormat="false" ht="15" hidden="false" customHeight="true" outlineLevel="0" collapsed="false">
      <c r="A36" s="14" t="s">
        <v>307</v>
      </c>
      <c r="B36" s="8" t="n">
        <v>46428</v>
      </c>
      <c r="C36" s="2" t="str">
        <f aca="false">IF(B36="","",TEXT(B36,"dddd"))</f>
        <v>Wednesday</v>
      </c>
      <c r="D36" s="2" t="s">
        <v>235</v>
      </c>
      <c r="E36" s="2" t="s">
        <v>144</v>
      </c>
      <c r="F36" s="2" t="s">
        <v>38</v>
      </c>
      <c r="G36" s="3" t="n">
        <v>80</v>
      </c>
      <c r="H36" s="1" t="s">
        <v>176</v>
      </c>
      <c r="I36" s="1" t="s">
        <v>177</v>
      </c>
      <c r="J36" s="1" t="s">
        <v>193</v>
      </c>
      <c r="K36" s="1" t="s">
        <v>194</v>
      </c>
      <c r="M36" s="1" t="s">
        <v>144</v>
      </c>
      <c r="N36" s="1" t="s">
        <v>30</v>
      </c>
      <c r="O36" s="1" t="s">
        <v>29</v>
      </c>
      <c r="P36" s="1" t="s">
        <v>236</v>
      </c>
      <c r="Q36" s="12" t="s">
        <v>237</v>
      </c>
      <c r="S36" s="10" t="s">
        <v>33</v>
      </c>
      <c r="T36" s="10" t="s">
        <v>34</v>
      </c>
      <c r="U36" s="11" t="b">
        <f aca="false">FALSE()</f>
        <v>0</v>
      </c>
    </row>
    <row r="37" customFormat="false" ht="15" hidden="false" customHeight="true" outlineLevel="0" collapsed="false">
      <c r="A37" s="15" t="s">
        <v>308</v>
      </c>
      <c r="B37" s="8" t="n">
        <v>46430</v>
      </c>
      <c r="C37" s="2" t="str">
        <f aca="false">IF(B37="","",TEXT(B37,"dddd"))</f>
        <v>Friday</v>
      </c>
      <c r="D37" s="2" t="s">
        <v>271</v>
      </c>
      <c r="E37" s="2" t="s">
        <v>37</v>
      </c>
      <c r="F37" s="2" t="s">
        <v>24</v>
      </c>
      <c r="G37" s="3" t="n">
        <v>24</v>
      </c>
      <c r="H37" s="1" t="s">
        <v>176</v>
      </c>
      <c r="I37" s="1" t="s">
        <v>177</v>
      </c>
      <c r="J37" s="1" t="s">
        <v>184</v>
      </c>
      <c r="K37" s="1" t="s">
        <v>205</v>
      </c>
      <c r="M37" s="1" t="s">
        <v>37</v>
      </c>
      <c r="N37" s="1" t="s">
        <v>29</v>
      </c>
      <c r="O37" s="1" t="s">
        <v>30</v>
      </c>
      <c r="Q37" s="9" t="s">
        <v>309</v>
      </c>
      <c r="R37" s="1" t="s">
        <v>273</v>
      </c>
      <c r="S37" s="10" t="s">
        <v>33</v>
      </c>
      <c r="T37" s="10" t="s">
        <v>34</v>
      </c>
      <c r="U37" s="11" t="b">
        <f aca="false">FALSE()</f>
        <v>0</v>
      </c>
    </row>
    <row r="38" customFormat="false" ht="15" hidden="false" customHeight="true" outlineLevel="0" collapsed="false">
      <c r="A38" s="7" t="s">
        <v>310</v>
      </c>
      <c r="B38" s="8" t="n">
        <v>46441</v>
      </c>
      <c r="C38" s="2" t="str">
        <f aca="false">IF(B38="","",TEXT(B38,"dddd"))</f>
        <v>Tuesday</v>
      </c>
      <c r="D38" s="2" t="s">
        <v>36</v>
      </c>
      <c r="E38" s="2" t="s">
        <v>107</v>
      </c>
      <c r="F38" s="2" t="s">
        <v>38</v>
      </c>
      <c r="G38" s="3" t="n">
        <v>80</v>
      </c>
      <c r="H38" s="1" t="s">
        <v>176</v>
      </c>
      <c r="I38" s="1" t="s">
        <v>177</v>
      </c>
      <c r="J38" s="1" t="s">
        <v>178</v>
      </c>
      <c r="K38" s="1" t="s">
        <v>221</v>
      </c>
      <c r="L38" s="1" t="s">
        <v>222</v>
      </c>
      <c r="M38" s="1" t="s">
        <v>107</v>
      </c>
      <c r="N38" s="1" t="s">
        <v>29</v>
      </c>
      <c r="O38" s="1" t="s">
        <v>30</v>
      </c>
      <c r="P38" s="1" t="s">
        <v>223</v>
      </c>
      <c r="Q38" s="12" t="s">
        <v>311</v>
      </c>
      <c r="R38" s="1" t="s">
        <v>225</v>
      </c>
      <c r="S38" s="10" t="s">
        <v>33</v>
      </c>
      <c r="T38" s="10" t="s">
        <v>34</v>
      </c>
      <c r="U38" s="11" t="b">
        <f aca="false">FALSE()</f>
        <v>0</v>
      </c>
    </row>
    <row r="39" customFormat="false" ht="15" hidden="false" customHeight="false" outlineLevel="0" collapsed="false">
      <c r="A39" s="13" t="s">
        <v>312</v>
      </c>
      <c r="B39" s="8" t="n">
        <v>46441</v>
      </c>
      <c r="C39" s="2" t="str">
        <f aca="false">IF(B39="","",TEXT(B39,"dddd"))</f>
        <v>Tuesday</v>
      </c>
      <c r="D39" s="2" t="s">
        <v>216</v>
      </c>
      <c r="E39" s="2" t="s">
        <v>60</v>
      </c>
      <c r="F39" s="2" t="s">
        <v>313</v>
      </c>
      <c r="G39" s="3" t="n">
        <v>80</v>
      </c>
      <c r="H39" s="1" t="s">
        <v>176</v>
      </c>
      <c r="I39" s="1" t="s">
        <v>177</v>
      </c>
      <c r="J39" s="1" t="s">
        <v>178</v>
      </c>
      <c r="K39" s="1" t="s">
        <v>179</v>
      </c>
      <c r="L39" s="1" t="s">
        <v>218</v>
      </c>
      <c r="M39" s="1" t="s">
        <v>91</v>
      </c>
      <c r="N39" s="1" t="s">
        <v>29</v>
      </c>
      <c r="O39" s="1" t="s">
        <v>29</v>
      </c>
      <c r="P39" s="1" t="s">
        <v>314</v>
      </c>
      <c r="Q39" s="9" t="s">
        <v>65</v>
      </c>
      <c r="R39" s="1" t="s">
        <v>93</v>
      </c>
      <c r="S39" s="10" t="s">
        <v>60</v>
      </c>
      <c r="T39" s="10" t="s">
        <v>67</v>
      </c>
      <c r="U39" s="11" t="b">
        <f aca="false">FALSE()</f>
        <v>0</v>
      </c>
    </row>
    <row r="40" customFormat="false" ht="15" hidden="false" customHeight="false" outlineLevel="0" collapsed="false">
      <c r="A40" s="7" t="s">
        <v>315</v>
      </c>
      <c r="B40" s="8" t="n">
        <v>46444</v>
      </c>
      <c r="C40" s="2" t="str">
        <f aca="false">IF(B40="","",TEXT(B40,"dddd"))</f>
        <v>Friday</v>
      </c>
      <c r="D40" s="2" t="s">
        <v>316</v>
      </c>
      <c r="E40" s="2" t="s">
        <v>23</v>
      </c>
      <c r="F40" s="2" t="s">
        <v>38</v>
      </c>
      <c r="G40" s="3" t="n">
        <v>100</v>
      </c>
      <c r="H40" s="1" t="s">
        <v>176</v>
      </c>
      <c r="I40" s="1" t="s">
        <v>177</v>
      </c>
      <c r="J40" s="1" t="s">
        <v>178</v>
      </c>
      <c r="K40" s="1" t="s">
        <v>179</v>
      </c>
      <c r="L40" s="1" t="s">
        <v>180</v>
      </c>
      <c r="M40" s="1" t="s">
        <v>23</v>
      </c>
      <c r="N40" s="1" t="s">
        <v>29</v>
      </c>
      <c r="O40" s="1" t="s">
        <v>30</v>
      </c>
      <c r="Q40" s="12" t="s">
        <v>317</v>
      </c>
      <c r="R40" s="1" t="s">
        <v>318</v>
      </c>
      <c r="S40" s="10" t="s">
        <v>33</v>
      </c>
      <c r="T40" s="10" t="s">
        <v>34</v>
      </c>
      <c r="U40" s="11" t="b">
        <f aca="false">FALSE()</f>
        <v>0</v>
      </c>
    </row>
  </sheetData>
  <dataValidations count="2">
    <dataValidation allowBlank="true" errorStyle="stop" operator="between" showDropDown="false" showErrorMessage="false" showInputMessage="false" sqref="S2:S40" type="list">
      <formula1>"Regional,Local"</formula1>
      <formula2>0</formula2>
    </dataValidation>
    <dataValidation allowBlank="true" errorStyle="stop" operator="between" showDropDown="false" showErrorMessage="false" showInputMessage="false" sqref="T2:T40" type="list">
      <formula1>"Website,External"</formula1>
      <formula2>0</formula2>
    </dataValidation>
  </dataValidations>
  <hyperlinks>
    <hyperlink ref="Q2" r:id="rId1" display="https://beyth.co.uk/course/childminder-network-leading-a-team/"/>
    <hyperlink ref="Q3" r:id="rId2" display="https://beyth.co.uk/course/cpd-programme-using-evidence-to-strengthen-your-early-years-leadership-2026/"/>
    <hyperlink ref="Q4" r:id="rId3" display="https://calendar.bristolearlyyears.org.uk/"/>
    <hyperlink ref="Q5" r:id="rId4" display="https://beyth.co.uk/course/leadership-matters-network-december-2026/"/>
    <hyperlink ref="Q6" r:id="rId5" display="https://beyth.co.uk/course/cpd-programme-getting-it-right-for-twos-2026/"/>
    <hyperlink ref="Q11" r:id="rId6" display="https://calendar.bristolearlyyears.org.uk/"/>
    <hyperlink ref="Q19" r:id="rId7" display="https://beyth.co.uk/course/authentic-ambitious-and-values-based-leadership/"/>
    <hyperlink ref="Q23" r:id="rId8" display="https://beyth.co.uk/course/quality-interactions-toolkit-roadshow-29th-january-2027/"/>
    <hyperlink ref="Q24" r:id="rId9" display="https://beyth.co.uk/course/talking-about-twos-removing-barriers-creating-opportunities/"/>
    <hyperlink ref="Q28" r:id="rId10" display="https://beyth.co.uk/course/leadership-matters-network-february-2027/"/>
    <hyperlink ref="Q31" r:id="rId11" display="https://beyth.co.uk/course/quality-interactions-toolkit-roadshow-5th-february-2027/"/>
    <hyperlink ref="Q33" r:id="rId12" display="https://beyth.co.uk/course/courageous-conversations-leadership-2027/"/>
    <hyperlink ref="Q34" r:id="rId13" display="https://calendar.bristolearlyyears.org.uk/"/>
    <hyperlink ref="Q37" r:id="rId14" display="https://beyth.co.uk/course/quality-interactions-toolkit-roadshow-12th-february-2027/"/>
    <hyperlink ref="Q39" r:id="rId15" display="https://calendar.bristolearlyyears.org.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N25" activeCellId="0" sqref="N25"/>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30" hidden="false" customHeight="true" outlineLevel="0" collapsed="false">
      <c r="A2" s="13" t="s">
        <v>319</v>
      </c>
      <c r="B2" s="8" t="n">
        <v>46447</v>
      </c>
      <c r="C2" s="2" t="str">
        <f aca="false">IF(B2="","",TEXT(B2,"dddd"))</f>
        <v>Monday</v>
      </c>
      <c r="D2" s="2" t="s">
        <v>51</v>
      </c>
      <c r="E2" s="2" t="s">
        <v>60</v>
      </c>
      <c r="F2" s="2" t="s">
        <v>320</v>
      </c>
      <c r="G2" s="3" t="n">
        <v>80</v>
      </c>
      <c r="H2" s="1" t="s">
        <v>321</v>
      </c>
      <c r="I2" s="1" t="s">
        <v>322</v>
      </c>
      <c r="J2" s="1" t="s">
        <v>323</v>
      </c>
      <c r="K2" s="1" t="s">
        <v>324</v>
      </c>
      <c r="L2" s="1" t="s">
        <v>325</v>
      </c>
      <c r="M2" s="1" t="s">
        <v>63</v>
      </c>
      <c r="N2" s="1" t="s">
        <v>29</v>
      </c>
      <c r="O2" s="1" t="s">
        <v>29</v>
      </c>
      <c r="P2" s="1" t="s">
        <v>326</v>
      </c>
      <c r="Q2" s="9" t="s">
        <v>65</v>
      </c>
      <c r="R2" s="1" t="s">
        <v>66</v>
      </c>
      <c r="S2" s="10" t="s">
        <v>60</v>
      </c>
      <c r="T2" s="10" t="s">
        <v>67</v>
      </c>
      <c r="U2" s="11" t="b">
        <f aca="false">FALSE()</f>
        <v>0</v>
      </c>
    </row>
    <row r="3" customFormat="false" ht="15" hidden="false" customHeight="true" outlineLevel="0" collapsed="false">
      <c r="A3" s="7" t="s">
        <v>327</v>
      </c>
      <c r="B3" s="8" t="n">
        <v>46448</v>
      </c>
      <c r="C3" s="2" t="str">
        <f aca="false">IF(B3="","",TEXT(B3,"dddd"))</f>
        <v>Tuesday</v>
      </c>
      <c r="D3" s="2" t="s">
        <v>245</v>
      </c>
      <c r="E3" s="2" t="s">
        <v>52</v>
      </c>
      <c r="F3" s="2" t="s">
        <v>328</v>
      </c>
      <c r="G3" s="3" t="n">
        <v>6</v>
      </c>
      <c r="H3" s="1" t="s">
        <v>321</v>
      </c>
      <c r="I3" s="1" t="s">
        <v>322</v>
      </c>
      <c r="J3" s="1" t="s">
        <v>329</v>
      </c>
      <c r="K3" s="1" t="s">
        <v>330</v>
      </c>
      <c r="M3" s="1" t="s">
        <v>52</v>
      </c>
      <c r="N3" s="1" t="s">
        <v>29</v>
      </c>
      <c r="O3" s="1" t="s">
        <v>30</v>
      </c>
      <c r="Q3" s="12" t="s">
        <v>331</v>
      </c>
      <c r="R3" s="1" t="s">
        <v>332</v>
      </c>
      <c r="S3" s="10" t="s">
        <v>33</v>
      </c>
      <c r="T3" s="10" t="s">
        <v>34</v>
      </c>
      <c r="U3" s="11" t="b">
        <f aca="false">FALSE()</f>
        <v>0</v>
      </c>
    </row>
    <row r="4" customFormat="false" ht="30" hidden="false" customHeight="true" outlineLevel="0" collapsed="false">
      <c r="A4" s="7" t="s">
        <v>333</v>
      </c>
      <c r="B4" s="8" t="n">
        <v>46449</v>
      </c>
      <c r="C4" s="2" t="str">
        <f aca="false">IF(B4="","",TEXT(B4,"dddd"))</f>
        <v>Wednesday</v>
      </c>
      <c r="D4" s="2" t="s">
        <v>59</v>
      </c>
      <c r="E4" s="2" t="s">
        <v>261</v>
      </c>
      <c r="F4" s="2" t="s">
        <v>38</v>
      </c>
      <c r="G4" s="3" t="n">
        <v>80</v>
      </c>
      <c r="H4" s="1" t="s">
        <v>321</v>
      </c>
      <c r="I4" s="1" t="s">
        <v>322</v>
      </c>
      <c r="J4" s="1" t="s">
        <v>334</v>
      </c>
      <c r="K4" s="1" t="s">
        <v>335</v>
      </c>
      <c r="M4" s="1" t="s">
        <v>261</v>
      </c>
      <c r="N4" s="1" t="s">
        <v>29</v>
      </c>
      <c r="O4" s="1" t="s">
        <v>30</v>
      </c>
      <c r="P4" s="1" t="s">
        <v>262</v>
      </c>
      <c r="Q4" s="12" t="s">
        <v>336</v>
      </c>
      <c r="R4" s="1" t="s">
        <v>337</v>
      </c>
      <c r="S4" s="10" t="s">
        <v>33</v>
      </c>
      <c r="T4" s="10" t="s">
        <v>34</v>
      </c>
      <c r="U4" s="11" t="b">
        <f aca="false">FALSE()</f>
        <v>0</v>
      </c>
    </row>
    <row r="5" customFormat="false" ht="30" hidden="false" customHeight="true" outlineLevel="0" collapsed="false">
      <c r="A5" s="7" t="s">
        <v>338</v>
      </c>
      <c r="B5" s="8" t="n">
        <v>46450</v>
      </c>
      <c r="C5" s="2" t="str">
        <f aca="false">IF(B5="","",TEXT(B5,"dddd"))</f>
        <v>Thursday</v>
      </c>
      <c r="D5" s="2" t="s">
        <v>36</v>
      </c>
      <c r="E5" s="2" t="s">
        <v>37</v>
      </c>
      <c r="F5" s="2" t="s">
        <v>38</v>
      </c>
      <c r="G5" s="3" t="n">
        <v>80</v>
      </c>
      <c r="H5" s="1" t="s">
        <v>321</v>
      </c>
      <c r="I5" s="1" t="s">
        <v>322</v>
      </c>
      <c r="J5" s="1" t="s">
        <v>323</v>
      </c>
      <c r="K5" s="1" t="s">
        <v>339</v>
      </c>
      <c r="L5" s="1" t="s">
        <v>340</v>
      </c>
      <c r="M5" s="1" t="s">
        <v>37</v>
      </c>
      <c r="N5" s="1" t="s">
        <v>29</v>
      </c>
      <c r="O5" s="1" t="s">
        <v>30</v>
      </c>
      <c r="P5" s="1" t="s">
        <v>161</v>
      </c>
      <c r="Q5" s="12" t="s">
        <v>341</v>
      </c>
      <c r="R5" s="1" t="s">
        <v>163</v>
      </c>
      <c r="S5" s="10" t="s">
        <v>33</v>
      </c>
      <c r="T5" s="10" t="s">
        <v>34</v>
      </c>
      <c r="U5" s="11" t="b">
        <f aca="false">FALSE()</f>
        <v>0</v>
      </c>
    </row>
    <row r="6" customFormat="false" ht="30" hidden="false" customHeight="true" outlineLevel="0" collapsed="false">
      <c r="A6" s="7" t="s">
        <v>342</v>
      </c>
      <c r="B6" s="8" t="n">
        <v>46455</v>
      </c>
      <c r="C6" s="2" t="str">
        <f aca="false">IF(B6="","",TEXT(B6,"dddd"))</f>
        <v>Tuesday</v>
      </c>
      <c r="D6" s="2" t="s">
        <v>88</v>
      </c>
      <c r="E6" s="2" t="s">
        <v>107</v>
      </c>
      <c r="F6" s="2" t="s">
        <v>38</v>
      </c>
      <c r="G6" s="3" t="n">
        <v>80</v>
      </c>
      <c r="H6" s="1" t="s">
        <v>321</v>
      </c>
      <c r="I6" s="1" t="s">
        <v>322</v>
      </c>
      <c r="J6" s="1" t="s">
        <v>334</v>
      </c>
      <c r="K6" s="1" t="s">
        <v>343</v>
      </c>
      <c r="M6" s="1" t="s">
        <v>107</v>
      </c>
      <c r="N6" s="1" t="s">
        <v>29</v>
      </c>
      <c r="O6" s="1" t="s">
        <v>30</v>
      </c>
      <c r="P6" s="1" t="s">
        <v>152</v>
      </c>
      <c r="Q6" s="9" t="s">
        <v>344</v>
      </c>
      <c r="R6" s="1" t="s">
        <v>345</v>
      </c>
      <c r="S6" s="10" t="s">
        <v>33</v>
      </c>
      <c r="T6" s="10" t="s">
        <v>34</v>
      </c>
      <c r="U6" s="11" t="b">
        <f aca="false">FALSE()</f>
        <v>0</v>
      </c>
    </row>
    <row r="7" customFormat="false" ht="30" hidden="false" customHeight="true" outlineLevel="0" collapsed="false">
      <c r="A7" s="13" t="s">
        <v>346</v>
      </c>
      <c r="B7" s="8" t="n">
        <v>46455</v>
      </c>
      <c r="C7" s="2" t="str">
        <f aca="false">IF(B7="","",TEXT(B7,"dddd"))</f>
        <v>Tuesday</v>
      </c>
      <c r="D7" s="2" t="s">
        <v>347</v>
      </c>
      <c r="E7" s="2" t="s">
        <v>60</v>
      </c>
      <c r="F7" s="2" t="s">
        <v>348</v>
      </c>
      <c r="G7" s="3" t="n">
        <v>80</v>
      </c>
      <c r="H7" s="1" t="s">
        <v>321</v>
      </c>
      <c r="I7" s="1" t="s">
        <v>322</v>
      </c>
      <c r="J7" s="1" t="s">
        <v>323</v>
      </c>
      <c r="K7" s="1" t="s">
        <v>324</v>
      </c>
      <c r="L7" s="1" t="s">
        <v>349</v>
      </c>
      <c r="M7" s="1" t="s">
        <v>91</v>
      </c>
      <c r="N7" s="1" t="s">
        <v>29</v>
      </c>
      <c r="O7" s="1" t="s">
        <v>29</v>
      </c>
      <c r="P7" s="1" t="s">
        <v>350</v>
      </c>
      <c r="Q7" s="9" t="s">
        <v>65</v>
      </c>
      <c r="R7" s="1" t="s">
        <v>93</v>
      </c>
      <c r="S7" s="10" t="s">
        <v>60</v>
      </c>
      <c r="T7" s="10" t="s">
        <v>67</v>
      </c>
      <c r="U7" s="11" t="b">
        <f aca="false">FALSE()</f>
        <v>0</v>
      </c>
    </row>
    <row r="8" customFormat="false" ht="30" hidden="false" customHeight="true" outlineLevel="0" collapsed="false">
      <c r="A8" s="14" t="s">
        <v>351</v>
      </c>
      <c r="B8" s="8" t="n">
        <v>46456</v>
      </c>
      <c r="C8" s="2" t="str">
        <f aca="false">IF(B8="","",TEXT(B8,"dddd"))</f>
        <v>Wednesday</v>
      </c>
      <c r="D8" s="2" t="s">
        <v>235</v>
      </c>
      <c r="E8" s="2" t="s">
        <v>144</v>
      </c>
      <c r="F8" s="2" t="s">
        <v>38</v>
      </c>
      <c r="G8" s="3" t="n">
        <v>80</v>
      </c>
      <c r="H8" s="1" t="s">
        <v>321</v>
      </c>
      <c r="I8" s="1" t="s">
        <v>322</v>
      </c>
      <c r="J8" s="1" t="s">
        <v>334</v>
      </c>
      <c r="K8" s="1" t="s">
        <v>335</v>
      </c>
      <c r="M8" s="1" t="s">
        <v>144</v>
      </c>
      <c r="N8" s="1" t="s">
        <v>30</v>
      </c>
      <c r="O8" s="1" t="s">
        <v>29</v>
      </c>
      <c r="P8" s="1" t="s">
        <v>236</v>
      </c>
      <c r="Q8" s="12" t="s">
        <v>237</v>
      </c>
      <c r="S8" s="10" t="s">
        <v>33</v>
      </c>
      <c r="T8" s="10" t="s">
        <v>34</v>
      </c>
      <c r="U8" s="11" t="b">
        <f aca="false">FALSE()</f>
        <v>0</v>
      </c>
    </row>
    <row r="9" customFormat="false" ht="30" hidden="false" customHeight="true" outlineLevel="0" collapsed="false">
      <c r="A9" s="7" t="s">
        <v>352</v>
      </c>
      <c r="B9" s="8" t="n">
        <v>46456</v>
      </c>
      <c r="C9" s="2" t="str">
        <f aca="false">IF(B9="","",TEXT(B9,"dddd"))</f>
        <v>Wednesday</v>
      </c>
      <c r="D9" s="2" t="s">
        <v>88</v>
      </c>
      <c r="E9" s="2" t="s">
        <v>46</v>
      </c>
      <c r="F9" s="2" t="s">
        <v>38</v>
      </c>
      <c r="G9" s="3" t="n">
        <v>80</v>
      </c>
      <c r="H9" s="1" t="s">
        <v>321</v>
      </c>
      <c r="I9" s="1" t="s">
        <v>322</v>
      </c>
      <c r="J9" s="1" t="s">
        <v>334</v>
      </c>
      <c r="K9" s="1" t="s">
        <v>324</v>
      </c>
      <c r="M9" s="1" t="s">
        <v>102</v>
      </c>
      <c r="N9" s="1" t="s">
        <v>29</v>
      </c>
      <c r="O9" s="1" t="s">
        <v>30</v>
      </c>
      <c r="P9" s="1" t="s">
        <v>253</v>
      </c>
      <c r="Q9" s="12" t="s">
        <v>353</v>
      </c>
      <c r="R9" s="1" t="s">
        <v>354</v>
      </c>
      <c r="S9" s="10" t="s">
        <v>33</v>
      </c>
      <c r="T9" s="10" t="s">
        <v>34</v>
      </c>
      <c r="U9" s="11" t="b">
        <f aca="false">FALSE()</f>
        <v>0</v>
      </c>
    </row>
    <row r="10" customFormat="false" ht="30" hidden="false" customHeight="true" outlineLevel="0" collapsed="false">
      <c r="A10" s="7" t="s">
        <v>168</v>
      </c>
      <c r="B10" s="8" t="n">
        <v>46457</v>
      </c>
      <c r="C10" s="2" t="str">
        <f aca="false">IF(B10="","",TEXT(B10,"dddd"))</f>
        <v>Thursday</v>
      </c>
      <c r="D10" s="2" t="s">
        <v>88</v>
      </c>
      <c r="E10" s="2" t="s">
        <v>37</v>
      </c>
      <c r="F10" s="2" t="s">
        <v>38</v>
      </c>
      <c r="G10" s="3" t="n">
        <v>80</v>
      </c>
      <c r="H10" s="1" t="s">
        <v>321</v>
      </c>
      <c r="I10" s="1" t="s">
        <v>322</v>
      </c>
      <c r="J10" s="1" t="s">
        <v>334</v>
      </c>
      <c r="K10" s="1" t="s">
        <v>355</v>
      </c>
      <c r="M10" s="1" t="s">
        <v>37</v>
      </c>
      <c r="N10" s="1" t="s">
        <v>29</v>
      </c>
      <c r="O10" s="1" t="s">
        <v>30</v>
      </c>
      <c r="Q10" s="12" t="s">
        <v>356</v>
      </c>
      <c r="R10" s="1" t="s">
        <v>171</v>
      </c>
      <c r="S10" s="10" t="s">
        <v>33</v>
      </c>
      <c r="T10" s="10" t="s">
        <v>34</v>
      </c>
      <c r="U10" s="11" t="b">
        <f aca="false">FALSE()</f>
        <v>0</v>
      </c>
    </row>
    <row r="11" customFormat="false" ht="30" hidden="false" customHeight="true" outlineLevel="0" collapsed="false">
      <c r="A11" s="7" t="s">
        <v>357</v>
      </c>
      <c r="B11" s="8" t="n">
        <v>46462</v>
      </c>
      <c r="C11" s="2" t="str">
        <f aca="false">IF(B11="","",TEXT(B11,"dddd"))</f>
        <v>Tuesday</v>
      </c>
      <c r="D11" s="2" t="s">
        <v>36</v>
      </c>
      <c r="E11" s="2" t="s">
        <v>144</v>
      </c>
      <c r="F11" s="2" t="s">
        <v>38</v>
      </c>
      <c r="G11" s="3" t="n">
        <v>80</v>
      </c>
      <c r="H11" s="1" t="s">
        <v>321</v>
      </c>
      <c r="I11" s="1" t="s">
        <v>322</v>
      </c>
      <c r="J11" s="1" t="s">
        <v>323</v>
      </c>
      <c r="K11" s="1" t="s">
        <v>335</v>
      </c>
      <c r="L11" s="1" t="s">
        <v>358</v>
      </c>
      <c r="M11" s="1" t="s">
        <v>144</v>
      </c>
      <c r="N11" s="1" t="s">
        <v>29</v>
      </c>
      <c r="O11" s="1" t="s">
        <v>30</v>
      </c>
      <c r="Q11" s="12" t="s">
        <v>359</v>
      </c>
      <c r="R11" s="1" t="s">
        <v>259</v>
      </c>
      <c r="S11" s="10" t="s">
        <v>33</v>
      </c>
      <c r="T11" s="10" t="s">
        <v>34</v>
      </c>
      <c r="U11" s="11" t="b">
        <f aca="false">FALSE()</f>
        <v>0</v>
      </c>
    </row>
    <row r="12" customFormat="false" ht="30" hidden="false" customHeight="true" outlineLevel="0" collapsed="false">
      <c r="A12" s="7" t="s">
        <v>360</v>
      </c>
      <c r="B12" s="8" t="n">
        <v>46462</v>
      </c>
      <c r="C12" s="2" t="str">
        <f aca="false">IF(B12="","",TEXT(B12,"dddd"))</f>
        <v>Tuesday</v>
      </c>
      <c r="D12" s="2" t="s">
        <v>59</v>
      </c>
      <c r="E12" s="2" t="s">
        <v>46</v>
      </c>
      <c r="F12" s="2" t="s">
        <v>38</v>
      </c>
      <c r="G12" s="3" t="n">
        <v>80</v>
      </c>
      <c r="H12" s="1" t="s">
        <v>321</v>
      </c>
      <c r="I12" s="1" t="s">
        <v>322</v>
      </c>
      <c r="J12" s="1" t="s">
        <v>334</v>
      </c>
      <c r="K12" s="1" t="s">
        <v>324</v>
      </c>
      <c r="M12" s="1" t="s">
        <v>361</v>
      </c>
      <c r="N12" s="1" t="s">
        <v>29</v>
      </c>
      <c r="O12" s="1" t="s">
        <v>30</v>
      </c>
      <c r="P12" s="1" t="s">
        <v>267</v>
      </c>
      <c r="Q12" s="12" t="s">
        <v>362</v>
      </c>
      <c r="R12" s="1" t="s">
        <v>363</v>
      </c>
      <c r="S12" s="10" t="s">
        <v>33</v>
      </c>
      <c r="T12" s="10" t="s">
        <v>34</v>
      </c>
      <c r="U12" s="11" t="b">
        <f aca="false">FALSE()</f>
        <v>0</v>
      </c>
    </row>
    <row r="13" customFormat="false" ht="30" hidden="false" customHeight="true" outlineLevel="0" collapsed="false">
      <c r="A13" s="7" t="s">
        <v>364</v>
      </c>
      <c r="B13" s="8" t="n">
        <v>46463</v>
      </c>
      <c r="C13" s="2" t="str">
        <f aca="false">IF(B13="","",TEXT(B13,"dddd"))</f>
        <v>Wednesday</v>
      </c>
      <c r="D13" s="2" t="s">
        <v>51</v>
      </c>
      <c r="E13" s="2" t="s">
        <v>52</v>
      </c>
      <c r="F13" s="2" t="s">
        <v>38</v>
      </c>
      <c r="G13" s="3" t="n">
        <v>80</v>
      </c>
      <c r="H13" s="1" t="s">
        <v>321</v>
      </c>
      <c r="I13" s="1" t="s">
        <v>322</v>
      </c>
      <c r="J13" s="1" t="s">
        <v>323</v>
      </c>
      <c r="K13" s="1" t="s">
        <v>330</v>
      </c>
      <c r="L13" s="1" t="s">
        <v>365</v>
      </c>
      <c r="M13" s="1" t="s">
        <v>52</v>
      </c>
      <c r="N13" s="1" t="s">
        <v>29</v>
      </c>
      <c r="O13" s="1" t="s">
        <v>30</v>
      </c>
      <c r="P13" s="1" t="s">
        <v>55</v>
      </c>
      <c r="Q13" s="12" t="s">
        <v>366</v>
      </c>
      <c r="R13" s="1" t="s">
        <v>367</v>
      </c>
      <c r="S13" s="10" t="s">
        <v>33</v>
      </c>
      <c r="T13" s="10" t="s">
        <v>34</v>
      </c>
      <c r="U13" s="11" t="b">
        <f aca="false">FALSE()</f>
        <v>0</v>
      </c>
    </row>
    <row r="14" customFormat="false" ht="30" hidden="false" customHeight="true" outlineLevel="0" collapsed="false">
      <c r="A14" s="7" t="s">
        <v>368</v>
      </c>
      <c r="B14" s="8" t="n">
        <v>46464</v>
      </c>
      <c r="C14" s="2" t="str">
        <f aca="false">IF(B14="","",TEXT(B14,"dddd"))</f>
        <v>Thursday</v>
      </c>
      <c r="D14" s="2" t="s">
        <v>369</v>
      </c>
      <c r="E14" s="2" t="s">
        <v>261</v>
      </c>
      <c r="F14" s="2" t="s">
        <v>38</v>
      </c>
      <c r="G14" s="3" t="n">
        <v>80</v>
      </c>
      <c r="H14" s="1" t="s">
        <v>321</v>
      </c>
      <c r="I14" s="1" t="s">
        <v>322</v>
      </c>
      <c r="J14" s="1" t="s">
        <v>323</v>
      </c>
      <c r="K14" s="1" t="s">
        <v>335</v>
      </c>
      <c r="L14" s="1" t="s">
        <v>370</v>
      </c>
      <c r="M14" s="1" t="s">
        <v>261</v>
      </c>
      <c r="N14" s="1" t="s">
        <v>29</v>
      </c>
      <c r="O14" s="1" t="s">
        <v>30</v>
      </c>
      <c r="Q14" s="12" t="s">
        <v>371</v>
      </c>
      <c r="R14" s="1" t="s">
        <v>372</v>
      </c>
      <c r="S14" s="10" t="s">
        <v>33</v>
      </c>
      <c r="T14" s="10" t="s">
        <v>34</v>
      </c>
      <c r="U14" s="11" t="b">
        <f aca="false">FALSE()</f>
        <v>0</v>
      </c>
    </row>
    <row r="15" customFormat="false" ht="30" hidden="false" customHeight="true" outlineLevel="0" collapsed="false">
      <c r="A15" s="7" t="s">
        <v>373</v>
      </c>
      <c r="B15" s="8" t="n">
        <v>46468</v>
      </c>
      <c r="C15" s="2" t="str">
        <f aca="false">IF(B15="","",TEXT(B15,"dddd"))</f>
        <v>Monday</v>
      </c>
      <c r="D15" s="2" t="s">
        <v>36</v>
      </c>
      <c r="E15" s="2" t="s">
        <v>37</v>
      </c>
      <c r="F15" s="2" t="s">
        <v>38</v>
      </c>
      <c r="G15" s="3" t="n">
        <v>80</v>
      </c>
      <c r="H15" s="1" t="s">
        <v>321</v>
      </c>
      <c r="I15" s="1" t="s">
        <v>322</v>
      </c>
      <c r="J15" s="1" t="s">
        <v>323</v>
      </c>
      <c r="K15" s="1" t="s">
        <v>339</v>
      </c>
      <c r="L15" s="1" t="s">
        <v>340</v>
      </c>
      <c r="M15" s="1" t="s">
        <v>37</v>
      </c>
      <c r="N15" s="1" t="s">
        <v>29</v>
      </c>
      <c r="O15" s="1" t="s">
        <v>30</v>
      </c>
      <c r="Q15" s="12" t="s">
        <v>374</v>
      </c>
      <c r="R15" s="1" t="s">
        <v>375</v>
      </c>
      <c r="S15" s="10" t="s">
        <v>33</v>
      </c>
      <c r="T15" s="10" t="s">
        <v>34</v>
      </c>
      <c r="U15" s="11" t="b">
        <f aca="false">FALSE()</f>
        <v>0</v>
      </c>
    </row>
    <row r="16" customFormat="false" ht="30" hidden="false" customHeight="true" outlineLevel="0" collapsed="false">
      <c r="A16" s="7" t="s">
        <v>376</v>
      </c>
      <c r="B16" s="8" t="n">
        <v>46469</v>
      </c>
      <c r="C16" s="2" t="str">
        <f aca="false">IF(B16="","",TEXT(B16,"dddd"))</f>
        <v>Tuesday</v>
      </c>
      <c r="D16" s="2" t="s">
        <v>377</v>
      </c>
      <c r="E16" s="2" t="s">
        <v>119</v>
      </c>
      <c r="F16" s="2" t="s">
        <v>378</v>
      </c>
      <c r="G16" s="3" t="n">
        <v>20</v>
      </c>
      <c r="H16" s="1" t="s">
        <v>321</v>
      </c>
      <c r="I16" s="1" t="s">
        <v>322</v>
      </c>
      <c r="J16" s="1" t="s">
        <v>329</v>
      </c>
      <c r="K16" s="1" t="s">
        <v>379</v>
      </c>
      <c r="M16" s="1" t="s">
        <v>119</v>
      </c>
      <c r="N16" s="1" t="s">
        <v>29</v>
      </c>
      <c r="O16" s="1" t="s">
        <v>30</v>
      </c>
      <c r="P16" s="1" t="s">
        <v>380</v>
      </c>
      <c r="Q16" s="12" t="s">
        <v>381</v>
      </c>
      <c r="R16" s="1" t="s">
        <v>382</v>
      </c>
      <c r="S16" s="10" t="s">
        <v>33</v>
      </c>
      <c r="T16" s="10" t="s">
        <v>34</v>
      </c>
      <c r="U16" s="11" t="b">
        <f aca="false">FALSE()</f>
        <v>0</v>
      </c>
    </row>
    <row r="17" customFormat="false" ht="30" hidden="false" customHeight="true" outlineLevel="0" collapsed="false">
      <c r="A17" s="7" t="s">
        <v>383</v>
      </c>
      <c r="B17" s="8" t="n">
        <v>46470</v>
      </c>
      <c r="C17" s="2" t="str">
        <f aca="false">IF(B17="","",TEXT(B17,"dddd"))</f>
        <v>Wednesday</v>
      </c>
      <c r="D17" s="2" t="s">
        <v>45</v>
      </c>
      <c r="E17" s="2" t="s">
        <v>46</v>
      </c>
      <c r="F17" s="2" t="s">
        <v>38</v>
      </c>
      <c r="G17" s="3" t="n">
        <v>80</v>
      </c>
      <c r="H17" s="1" t="s">
        <v>321</v>
      </c>
      <c r="I17" s="1" t="s">
        <v>322</v>
      </c>
      <c r="J17" s="1" t="s">
        <v>323</v>
      </c>
      <c r="K17" s="1" t="s">
        <v>324</v>
      </c>
      <c r="L17" s="1" t="s">
        <v>384</v>
      </c>
      <c r="M17" s="1" t="s">
        <v>46</v>
      </c>
      <c r="N17" s="1" t="s">
        <v>29</v>
      </c>
      <c r="O17" s="1" t="s">
        <v>30</v>
      </c>
      <c r="Q17" s="12" t="s">
        <v>385</v>
      </c>
      <c r="R17" s="1" t="s">
        <v>49</v>
      </c>
      <c r="S17" s="10" t="s">
        <v>33</v>
      </c>
      <c r="T17" s="10" t="s">
        <v>34</v>
      </c>
      <c r="U17" s="11" t="b">
        <f aca="false">FALSE()</f>
        <v>0</v>
      </c>
    </row>
    <row r="18" customFormat="false" ht="30" hidden="false" customHeight="true" outlineLevel="0" collapsed="false">
      <c r="A18" s="7" t="s">
        <v>386</v>
      </c>
      <c r="B18" s="8" t="n">
        <v>46486</v>
      </c>
      <c r="C18" s="2" t="str">
        <f aca="false">IF(B18="","",TEXT(B18,"dddd"))</f>
        <v>Friday</v>
      </c>
      <c r="D18" s="2" t="s">
        <v>201</v>
      </c>
      <c r="E18" s="2" t="s">
        <v>119</v>
      </c>
      <c r="F18" s="2" t="s">
        <v>38</v>
      </c>
      <c r="G18" s="3" t="n">
        <v>80</v>
      </c>
      <c r="H18" s="1" t="s">
        <v>321</v>
      </c>
      <c r="I18" s="1" t="s">
        <v>322</v>
      </c>
      <c r="J18" s="1" t="s">
        <v>323</v>
      </c>
      <c r="K18" s="1" t="s">
        <v>339</v>
      </c>
      <c r="L18" s="1" t="s">
        <v>325</v>
      </c>
      <c r="M18" s="1" t="s">
        <v>63</v>
      </c>
      <c r="N18" s="1" t="s">
        <v>29</v>
      </c>
      <c r="O18" s="1" t="s">
        <v>30</v>
      </c>
      <c r="P18" s="1" t="s">
        <v>114</v>
      </c>
      <c r="Q18" s="12" t="s">
        <v>387</v>
      </c>
      <c r="R18" s="1" t="s">
        <v>388</v>
      </c>
      <c r="S18" s="10" t="s">
        <v>33</v>
      </c>
      <c r="T18" s="10" t="s">
        <v>34</v>
      </c>
      <c r="U18" s="11" t="b">
        <f aca="false">FALSE()</f>
        <v>0</v>
      </c>
    </row>
    <row r="19" customFormat="false" ht="15" hidden="false" customHeight="true" outlineLevel="0" collapsed="false">
      <c r="A19" s="7" t="s">
        <v>389</v>
      </c>
      <c r="B19" s="8" t="n">
        <v>46492</v>
      </c>
      <c r="C19" s="2" t="str">
        <f aca="false">IF(B19="","",TEXT(B19,"dddd"))</f>
        <v>Thursday</v>
      </c>
      <c r="D19" s="2" t="s">
        <v>88</v>
      </c>
      <c r="E19" s="2" t="s">
        <v>37</v>
      </c>
      <c r="F19" s="2" t="s">
        <v>38</v>
      </c>
      <c r="G19" s="3" t="n">
        <v>80</v>
      </c>
      <c r="H19" s="1" t="s">
        <v>321</v>
      </c>
      <c r="I19" s="1" t="s">
        <v>322</v>
      </c>
      <c r="J19" s="1" t="s">
        <v>334</v>
      </c>
      <c r="K19" s="1" t="s">
        <v>339</v>
      </c>
      <c r="M19" s="1" t="s">
        <v>37</v>
      </c>
      <c r="N19" s="1" t="s">
        <v>30</v>
      </c>
      <c r="O19" s="1" t="s">
        <v>30</v>
      </c>
      <c r="P19" s="1" t="s">
        <v>390</v>
      </c>
      <c r="Q19" s="12" t="s">
        <v>391</v>
      </c>
      <c r="R19" s="1" t="s">
        <v>392</v>
      </c>
      <c r="S19" s="10" t="s">
        <v>33</v>
      </c>
      <c r="T19" s="10" t="s">
        <v>34</v>
      </c>
      <c r="U19" s="11" t="b">
        <f aca="false">FALSE()</f>
        <v>0</v>
      </c>
    </row>
    <row r="20" customFormat="false" ht="30" hidden="false" customHeight="true" outlineLevel="0" collapsed="false">
      <c r="A20" s="7" t="s">
        <v>393</v>
      </c>
      <c r="B20" s="8" t="n">
        <v>46496</v>
      </c>
      <c r="C20" s="2" t="str">
        <f aca="false">IF(B20="","",TEXT(B20,"dddd"))</f>
        <v>Monday</v>
      </c>
      <c r="D20" s="2" t="s">
        <v>118</v>
      </c>
      <c r="E20" s="2" t="s">
        <v>23</v>
      </c>
      <c r="F20" s="2" t="s">
        <v>38</v>
      </c>
      <c r="G20" s="3" t="n">
        <v>100</v>
      </c>
      <c r="H20" s="1" t="s">
        <v>321</v>
      </c>
      <c r="I20" s="1" t="s">
        <v>322</v>
      </c>
      <c r="J20" s="1" t="s">
        <v>323</v>
      </c>
      <c r="K20" s="1" t="s">
        <v>324</v>
      </c>
      <c r="L20" s="1" t="s">
        <v>394</v>
      </c>
      <c r="M20" s="1" t="s">
        <v>23</v>
      </c>
      <c r="N20" s="1" t="s">
        <v>29</v>
      </c>
      <c r="O20" s="1" t="s">
        <v>30</v>
      </c>
      <c r="Q20" s="12" t="s">
        <v>395</v>
      </c>
      <c r="R20" s="1" t="s">
        <v>318</v>
      </c>
      <c r="S20" s="10" t="s">
        <v>33</v>
      </c>
      <c r="T20" s="10" t="s">
        <v>34</v>
      </c>
      <c r="U20" s="11" t="b">
        <f aca="false">FALSE()</f>
        <v>0</v>
      </c>
    </row>
    <row r="21" customFormat="false" ht="30" hidden="false" customHeight="true" outlineLevel="0" collapsed="false">
      <c r="A21" s="7" t="s">
        <v>396</v>
      </c>
      <c r="B21" s="8" t="n">
        <v>46500</v>
      </c>
      <c r="C21" s="2" t="str">
        <f aca="false">IF(B21="","",TEXT(B21,"dddd"))</f>
        <v>Friday</v>
      </c>
      <c r="D21" s="2" t="s">
        <v>397</v>
      </c>
      <c r="E21" s="2" t="s">
        <v>107</v>
      </c>
      <c r="F21" s="2" t="s">
        <v>151</v>
      </c>
      <c r="G21" s="3" t="n">
        <v>16</v>
      </c>
      <c r="H21" s="1" t="s">
        <v>321</v>
      </c>
      <c r="I21" s="1" t="s">
        <v>322</v>
      </c>
      <c r="J21" s="1" t="s">
        <v>329</v>
      </c>
      <c r="K21" s="1" t="s">
        <v>343</v>
      </c>
      <c r="M21" s="1" t="s">
        <v>107</v>
      </c>
      <c r="N21" s="1" t="s">
        <v>29</v>
      </c>
      <c r="O21" s="1" t="s">
        <v>30</v>
      </c>
      <c r="P21" s="1" t="s">
        <v>398</v>
      </c>
      <c r="Q21" s="9" t="s">
        <v>399</v>
      </c>
      <c r="R21" s="1" t="s">
        <v>400</v>
      </c>
      <c r="S21" s="10" t="s">
        <v>33</v>
      </c>
      <c r="T21" s="10" t="s">
        <v>34</v>
      </c>
      <c r="U21" s="11" t="b">
        <f aca="false">FALSE()</f>
        <v>0</v>
      </c>
    </row>
    <row r="22" customFormat="false" ht="30" hidden="false" customHeight="true" outlineLevel="0" collapsed="false">
      <c r="A22" s="7" t="s">
        <v>401</v>
      </c>
      <c r="B22" s="8" t="n">
        <v>46505</v>
      </c>
      <c r="C22" s="2" t="str">
        <f aca="false">IF(B22="","",TEXT(B22,"dddd"))</f>
        <v>Wednesday</v>
      </c>
      <c r="D22" s="2" t="s">
        <v>245</v>
      </c>
      <c r="E22" s="2" t="s">
        <v>52</v>
      </c>
      <c r="F22" s="2" t="s">
        <v>328</v>
      </c>
      <c r="G22" s="3" t="n">
        <v>6</v>
      </c>
      <c r="H22" s="1" t="s">
        <v>321</v>
      </c>
      <c r="I22" s="1" t="s">
        <v>322</v>
      </c>
      <c r="J22" s="1" t="s">
        <v>329</v>
      </c>
      <c r="K22" s="1" t="s">
        <v>330</v>
      </c>
      <c r="M22" s="1" t="s">
        <v>52</v>
      </c>
      <c r="N22" s="1" t="s">
        <v>29</v>
      </c>
      <c r="O22" s="1" t="s">
        <v>30</v>
      </c>
      <c r="Q22" s="12" t="s">
        <v>402</v>
      </c>
      <c r="R22" s="1" t="s">
        <v>332</v>
      </c>
      <c r="S22" s="10" t="s">
        <v>33</v>
      </c>
      <c r="T22" s="10" t="s">
        <v>34</v>
      </c>
      <c r="U22" s="11" t="b">
        <f aca="false">FALSE()</f>
        <v>0</v>
      </c>
    </row>
    <row r="23" customFormat="false" ht="15" hidden="false" customHeight="true" outlineLevel="0" collapsed="false">
      <c r="A23" s="14" t="s">
        <v>403</v>
      </c>
      <c r="B23" s="8" t="n">
        <v>46506</v>
      </c>
      <c r="C23" s="2" t="str">
        <f aca="false">IF(B23="","",TEXT(B23,"dddd"))</f>
        <v>Thursday</v>
      </c>
      <c r="D23" s="2" t="s">
        <v>88</v>
      </c>
      <c r="E23" s="2" t="s">
        <v>37</v>
      </c>
      <c r="F23" s="2" t="s">
        <v>38</v>
      </c>
      <c r="G23" s="3" t="n">
        <v>80</v>
      </c>
      <c r="H23" s="1" t="s">
        <v>321</v>
      </c>
      <c r="I23" s="1" t="s">
        <v>322</v>
      </c>
      <c r="J23" s="1" t="s">
        <v>334</v>
      </c>
      <c r="K23" s="1" t="s">
        <v>339</v>
      </c>
      <c r="M23" s="1" t="s">
        <v>37</v>
      </c>
      <c r="N23" s="1" t="s">
        <v>30</v>
      </c>
      <c r="O23" s="1" t="s">
        <v>29</v>
      </c>
      <c r="P23" s="1" t="s">
        <v>390</v>
      </c>
      <c r="Q23" s="9" t="s">
        <v>391</v>
      </c>
      <c r="R23" s="1" t="s">
        <v>392</v>
      </c>
      <c r="S23" s="10" t="s">
        <v>33</v>
      </c>
      <c r="T23" s="10" t="s">
        <v>34</v>
      </c>
      <c r="U23" s="11" t="b">
        <f aca="false">FALSE()</f>
        <v>0</v>
      </c>
    </row>
    <row r="24" customFormat="false" ht="30" hidden="false" customHeight="true" outlineLevel="0" collapsed="false">
      <c r="A24" s="7" t="s">
        <v>123</v>
      </c>
      <c r="B24" s="8" t="n">
        <v>46507</v>
      </c>
      <c r="C24" s="2" t="str">
        <f aca="false">IF(B24="","",TEXT(B24,"dddd"))</f>
        <v>Friday</v>
      </c>
      <c r="D24" s="2" t="s">
        <v>124</v>
      </c>
      <c r="E24" s="2" t="s">
        <v>46</v>
      </c>
      <c r="F24" s="2" t="s">
        <v>38</v>
      </c>
      <c r="G24" s="3" t="n">
        <v>80</v>
      </c>
      <c r="H24" s="1" t="s">
        <v>321</v>
      </c>
      <c r="I24" s="1" t="s">
        <v>322</v>
      </c>
      <c r="J24" s="1" t="s">
        <v>334</v>
      </c>
      <c r="K24" s="1" t="s">
        <v>324</v>
      </c>
      <c r="M24" s="1" t="s">
        <v>102</v>
      </c>
      <c r="N24" s="1" t="s">
        <v>29</v>
      </c>
      <c r="O24" s="1" t="s">
        <v>30</v>
      </c>
      <c r="P24" s="1" t="s">
        <v>125</v>
      </c>
      <c r="Q24" s="12" t="s">
        <v>404</v>
      </c>
      <c r="R24" s="1" t="s">
        <v>127</v>
      </c>
      <c r="S24" s="10" t="s">
        <v>33</v>
      </c>
      <c r="T24" s="10" t="s">
        <v>34</v>
      </c>
      <c r="U24" s="11" t="b">
        <f aca="false">FALSE()</f>
        <v>0</v>
      </c>
    </row>
    <row r="25" customFormat="false" ht="30" hidden="false" customHeight="true" outlineLevel="0" collapsed="false">
      <c r="A25" s="7" t="s">
        <v>405</v>
      </c>
      <c r="B25" s="8" t="n">
        <v>46512</v>
      </c>
      <c r="C25" s="2" t="str">
        <f aca="false">IF(B25="","",TEXT(B25,"dddd"))</f>
        <v>Wednesday</v>
      </c>
      <c r="D25" s="2" t="s">
        <v>406</v>
      </c>
      <c r="E25" s="2" t="s">
        <v>261</v>
      </c>
      <c r="F25" s="2" t="s">
        <v>38</v>
      </c>
      <c r="G25" s="3" t="n">
        <v>80</v>
      </c>
      <c r="H25" s="1" t="s">
        <v>321</v>
      </c>
      <c r="I25" s="1" t="s">
        <v>322</v>
      </c>
      <c r="J25" s="1" t="s">
        <v>323</v>
      </c>
      <c r="K25" s="1" t="s">
        <v>335</v>
      </c>
      <c r="L25" s="1" t="s">
        <v>370</v>
      </c>
      <c r="M25" s="1" t="s">
        <v>261</v>
      </c>
      <c r="N25" s="1" t="s">
        <v>29</v>
      </c>
      <c r="O25" s="1" t="s">
        <v>30</v>
      </c>
      <c r="Q25" s="12" t="s">
        <v>407</v>
      </c>
      <c r="R25" s="1" t="s">
        <v>372</v>
      </c>
      <c r="S25" s="10" t="s">
        <v>33</v>
      </c>
      <c r="T25" s="10" t="s">
        <v>34</v>
      </c>
      <c r="U25" s="11" t="b">
        <f aca="false">FALSE()</f>
        <v>0</v>
      </c>
    </row>
    <row r="26" customFormat="false" ht="30" hidden="false" customHeight="true" outlineLevel="0" collapsed="false">
      <c r="A26" s="7" t="s">
        <v>408</v>
      </c>
      <c r="B26" s="8" t="n">
        <v>46512</v>
      </c>
      <c r="C26" s="2" t="str">
        <f aca="false">IF(B26="","",TEXT(B26,"dddd"))</f>
        <v>Wednesday</v>
      </c>
      <c r="D26" s="2" t="s">
        <v>45</v>
      </c>
      <c r="E26" s="2" t="s">
        <v>46</v>
      </c>
      <c r="F26" s="2" t="s">
        <v>38</v>
      </c>
      <c r="G26" s="3" t="n">
        <v>80</v>
      </c>
      <c r="H26" s="1" t="s">
        <v>321</v>
      </c>
      <c r="I26" s="1" t="s">
        <v>322</v>
      </c>
      <c r="J26" s="1" t="s">
        <v>323</v>
      </c>
      <c r="K26" s="1" t="s">
        <v>324</v>
      </c>
      <c r="L26" s="1" t="s">
        <v>384</v>
      </c>
      <c r="M26" s="1" t="s">
        <v>46</v>
      </c>
      <c r="N26" s="1" t="s">
        <v>29</v>
      </c>
      <c r="O26" s="1" t="s">
        <v>30</v>
      </c>
      <c r="Q26" s="12" t="s">
        <v>409</v>
      </c>
      <c r="R26" s="1" t="s">
        <v>49</v>
      </c>
      <c r="S26" s="10" t="s">
        <v>33</v>
      </c>
      <c r="T26" s="10" t="s">
        <v>34</v>
      </c>
      <c r="U26" s="11" t="b">
        <f aca="false">FALSE()</f>
        <v>0</v>
      </c>
    </row>
    <row r="27" customFormat="false" ht="30" hidden="false" customHeight="true" outlineLevel="0" collapsed="false">
      <c r="A27" s="7" t="s">
        <v>135</v>
      </c>
      <c r="B27" s="8" t="n">
        <v>46513</v>
      </c>
      <c r="C27" s="2" t="str">
        <f aca="false">IF(B27="","",TEXT(B27,"dddd"))</f>
        <v>Thursday</v>
      </c>
      <c r="D27" s="2" t="s">
        <v>216</v>
      </c>
      <c r="E27" s="2" t="s">
        <v>37</v>
      </c>
      <c r="F27" s="2" t="s">
        <v>38</v>
      </c>
      <c r="G27" s="3" t="n">
        <v>80</v>
      </c>
      <c r="H27" s="1" t="s">
        <v>321</v>
      </c>
      <c r="I27" s="1" t="s">
        <v>322</v>
      </c>
      <c r="J27" s="1" t="s">
        <v>334</v>
      </c>
      <c r="K27" s="1" t="s">
        <v>339</v>
      </c>
      <c r="M27" s="1" t="s">
        <v>37</v>
      </c>
      <c r="N27" s="1" t="s">
        <v>29</v>
      </c>
      <c r="O27" s="1" t="s">
        <v>30</v>
      </c>
      <c r="Q27" s="12" t="s">
        <v>410</v>
      </c>
      <c r="R27" s="1" t="s">
        <v>137</v>
      </c>
      <c r="S27" s="10" t="s">
        <v>33</v>
      </c>
      <c r="T27" s="10" t="s">
        <v>34</v>
      </c>
      <c r="U27" s="11" t="b">
        <f aca="false">FALSE()</f>
        <v>0</v>
      </c>
    </row>
    <row r="28" customFormat="false" ht="30" hidden="false" customHeight="true" outlineLevel="0" collapsed="false">
      <c r="A28" s="13" t="s">
        <v>411</v>
      </c>
      <c r="B28" s="8" t="n">
        <v>46517</v>
      </c>
      <c r="C28" s="2" t="str">
        <f aca="false">IF(B28="","",TEXT(B28,"dddd"))</f>
        <v>Monday</v>
      </c>
      <c r="D28" s="2" t="s">
        <v>36</v>
      </c>
      <c r="E28" s="2" t="s">
        <v>60</v>
      </c>
      <c r="F28" s="2" t="s">
        <v>412</v>
      </c>
      <c r="G28" s="3" t="n">
        <v>80</v>
      </c>
      <c r="H28" s="1" t="s">
        <v>321</v>
      </c>
      <c r="I28" s="1" t="s">
        <v>322</v>
      </c>
      <c r="J28" s="1" t="s">
        <v>323</v>
      </c>
      <c r="K28" s="1" t="s">
        <v>324</v>
      </c>
      <c r="L28" s="1" t="s">
        <v>325</v>
      </c>
      <c r="M28" s="1" t="s">
        <v>63</v>
      </c>
      <c r="N28" s="1" t="s">
        <v>29</v>
      </c>
      <c r="O28" s="1" t="s">
        <v>29</v>
      </c>
      <c r="P28" s="1" t="s">
        <v>413</v>
      </c>
      <c r="Q28" s="9" t="s">
        <v>65</v>
      </c>
      <c r="R28" s="1" t="s">
        <v>66</v>
      </c>
      <c r="S28" s="10" t="s">
        <v>60</v>
      </c>
      <c r="T28" s="10" t="s">
        <v>67</v>
      </c>
      <c r="U28" s="11" t="b">
        <f aca="false">FALSE()</f>
        <v>0</v>
      </c>
    </row>
    <row r="29" customFormat="false" ht="30" hidden="false" customHeight="true" outlineLevel="0" collapsed="false">
      <c r="A29" s="7" t="s">
        <v>414</v>
      </c>
      <c r="B29" s="8" t="n">
        <v>46518</v>
      </c>
      <c r="C29" s="2" t="str">
        <f aca="false">IF(B29="","",TEXT(B29,"dddd"))</f>
        <v>Tuesday</v>
      </c>
      <c r="D29" s="2" t="s">
        <v>36</v>
      </c>
      <c r="E29" s="2" t="s">
        <v>107</v>
      </c>
      <c r="F29" s="2" t="s">
        <v>38</v>
      </c>
      <c r="G29" s="3" t="n">
        <v>80</v>
      </c>
      <c r="H29" s="1" t="s">
        <v>321</v>
      </c>
      <c r="I29" s="1" t="s">
        <v>322</v>
      </c>
      <c r="J29" s="1" t="s">
        <v>323</v>
      </c>
      <c r="K29" s="1" t="s">
        <v>343</v>
      </c>
      <c r="L29" s="1" t="s">
        <v>415</v>
      </c>
      <c r="M29" s="1" t="s">
        <v>107</v>
      </c>
      <c r="N29" s="1" t="s">
        <v>29</v>
      </c>
      <c r="O29" s="1" t="s">
        <v>30</v>
      </c>
      <c r="P29" s="1" t="s">
        <v>223</v>
      </c>
      <c r="Q29" s="12" t="s">
        <v>416</v>
      </c>
      <c r="R29" s="1" t="s">
        <v>225</v>
      </c>
      <c r="S29" s="10" t="s">
        <v>33</v>
      </c>
      <c r="T29" s="10" t="s">
        <v>34</v>
      </c>
      <c r="U29" s="11" t="b">
        <f aca="false">FALSE()</f>
        <v>0</v>
      </c>
    </row>
    <row r="30" customFormat="false" ht="27.75" hidden="false" customHeight="true" outlineLevel="0" collapsed="false">
      <c r="A30" s="7" t="s">
        <v>417</v>
      </c>
      <c r="B30" s="8" t="n">
        <v>46519</v>
      </c>
      <c r="C30" s="2" t="str">
        <f aca="false">IF(B30="","",TEXT(B30,"dddd"))</f>
        <v>Wednesday</v>
      </c>
      <c r="D30" s="2" t="s">
        <v>235</v>
      </c>
      <c r="E30" s="2" t="s">
        <v>144</v>
      </c>
      <c r="F30" s="2" t="s">
        <v>38</v>
      </c>
      <c r="G30" s="3" t="n">
        <v>80</v>
      </c>
      <c r="H30" s="1" t="s">
        <v>321</v>
      </c>
      <c r="I30" s="1" t="s">
        <v>322</v>
      </c>
      <c r="J30" s="1" t="s">
        <v>334</v>
      </c>
      <c r="K30" s="1" t="s">
        <v>335</v>
      </c>
      <c r="M30" s="1" t="s">
        <v>144</v>
      </c>
      <c r="N30" s="1" t="s">
        <v>30</v>
      </c>
      <c r="O30" s="1" t="s">
        <v>30</v>
      </c>
      <c r="P30" s="1" t="s">
        <v>236</v>
      </c>
      <c r="Q30" s="12" t="s">
        <v>418</v>
      </c>
      <c r="R30" s="1" t="s">
        <v>238</v>
      </c>
      <c r="S30" s="10" t="s">
        <v>33</v>
      </c>
      <c r="T30" s="10" t="s">
        <v>34</v>
      </c>
      <c r="U30" s="11" t="b">
        <f aca="false">FALSE()</f>
        <v>0</v>
      </c>
    </row>
    <row r="31" customFormat="false" ht="27.75" hidden="false" customHeight="true" outlineLevel="0" collapsed="false">
      <c r="A31" s="7" t="s">
        <v>419</v>
      </c>
      <c r="B31" s="8" t="n">
        <v>46520</v>
      </c>
      <c r="C31" s="2" t="str">
        <f aca="false">IF(B31="","",TEXT(B31,"dddd"))</f>
        <v>Thursday</v>
      </c>
      <c r="D31" s="2" t="s">
        <v>347</v>
      </c>
      <c r="E31" s="2" t="s">
        <v>91</v>
      </c>
      <c r="F31" s="2" t="s">
        <v>38</v>
      </c>
      <c r="G31" s="3" t="n">
        <v>80</v>
      </c>
      <c r="H31" s="1" t="s">
        <v>321</v>
      </c>
      <c r="I31" s="1" t="s">
        <v>322</v>
      </c>
      <c r="J31" s="1" t="s">
        <v>334</v>
      </c>
      <c r="K31" s="1" t="s">
        <v>339</v>
      </c>
      <c r="M31" s="1" t="s">
        <v>91</v>
      </c>
      <c r="N31" s="1" t="s">
        <v>30</v>
      </c>
      <c r="O31" s="1" t="s">
        <v>30</v>
      </c>
      <c r="Q31" s="12" t="s">
        <v>420</v>
      </c>
      <c r="R31" s="1" t="s">
        <v>421</v>
      </c>
      <c r="S31" s="10" t="s">
        <v>33</v>
      </c>
      <c r="T31" s="10" t="s">
        <v>34</v>
      </c>
      <c r="U31" s="11" t="b">
        <f aca="false">FALSE()</f>
        <v>0</v>
      </c>
    </row>
    <row r="32" customFormat="false" ht="15" hidden="false" customHeight="true" outlineLevel="0" collapsed="false">
      <c r="A32" s="7" t="s">
        <v>422</v>
      </c>
      <c r="B32" s="8" t="n">
        <v>46525</v>
      </c>
      <c r="C32" s="2" t="str">
        <f aca="false">IF(B32="","",TEXT(B32,"dddd"))</f>
        <v>Tuesday</v>
      </c>
      <c r="D32" s="2" t="s">
        <v>51</v>
      </c>
      <c r="E32" s="2" t="s">
        <v>52</v>
      </c>
      <c r="F32" s="2" t="s">
        <v>38</v>
      </c>
      <c r="G32" s="3" t="n">
        <v>80</v>
      </c>
      <c r="H32" s="1" t="s">
        <v>321</v>
      </c>
      <c r="I32" s="1" t="s">
        <v>322</v>
      </c>
      <c r="J32" s="1" t="s">
        <v>323</v>
      </c>
      <c r="K32" s="1" t="s">
        <v>330</v>
      </c>
      <c r="L32" s="1" t="s">
        <v>365</v>
      </c>
      <c r="M32" s="1" t="s">
        <v>52</v>
      </c>
      <c r="N32" s="1" t="s">
        <v>29</v>
      </c>
      <c r="O32" s="1" t="s">
        <v>30</v>
      </c>
      <c r="P32" s="1" t="s">
        <v>55</v>
      </c>
      <c r="Q32" s="12" t="s">
        <v>423</v>
      </c>
      <c r="R32" s="1" t="s">
        <v>424</v>
      </c>
      <c r="S32" s="10" t="s">
        <v>33</v>
      </c>
      <c r="T32" s="10" t="s">
        <v>34</v>
      </c>
      <c r="U32" s="11" t="b">
        <f aca="false">FALSE()</f>
        <v>0</v>
      </c>
    </row>
    <row r="33" customFormat="false" ht="15" hidden="false" customHeight="true" outlineLevel="0" collapsed="false">
      <c r="A33" s="7" t="s">
        <v>149</v>
      </c>
      <c r="B33" s="8" t="n">
        <v>46526</v>
      </c>
      <c r="C33" s="2" t="str">
        <f aca="false">IF(B33="","",TEXT(B33,"dddd"))</f>
        <v>Wednesday</v>
      </c>
      <c r="D33" s="2" t="s">
        <v>150</v>
      </c>
      <c r="E33" s="2" t="s">
        <v>46</v>
      </c>
      <c r="F33" s="2" t="s">
        <v>151</v>
      </c>
      <c r="G33" s="3" t="n">
        <v>16</v>
      </c>
      <c r="H33" s="1" t="s">
        <v>321</v>
      </c>
      <c r="I33" s="1" t="s">
        <v>322</v>
      </c>
      <c r="J33" s="1" t="s">
        <v>329</v>
      </c>
      <c r="K33" s="1" t="s">
        <v>324</v>
      </c>
      <c r="M33" s="1" t="s">
        <v>102</v>
      </c>
      <c r="N33" s="1" t="s">
        <v>29</v>
      </c>
      <c r="O33" s="1" t="s">
        <v>30</v>
      </c>
      <c r="P33" s="1" t="s">
        <v>152</v>
      </c>
      <c r="Q33" s="12" t="s">
        <v>425</v>
      </c>
      <c r="R33" s="1" t="s">
        <v>154</v>
      </c>
      <c r="S33" s="10" t="s">
        <v>33</v>
      </c>
      <c r="T33" s="10" t="s">
        <v>34</v>
      </c>
      <c r="U33" s="11" t="b">
        <f aca="false">FALSE()</f>
        <v>0</v>
      </c>
    </row>
    <row r="34" customFormat="false" ht="27.75" hidden="false" customHeight="true" outlineLevel="0" collapsed="false">
      <c r="A34" s="14" t="s">
        <v>426</v>
      </c>
      <c r="B34" s="8" t="n">
        <v>46527</v>
      </c>
      <c r="C34" s="2" t="str">
        <f aca="false">IF(B34="","",TEXT(B34,"dddd"))</f>
        <v>Thursday</v>
      </c>
      <c r="D34" s="2" t="s">
        <v>88</v>
      </c>
      <c r="E34" s="2" t="s">
        <v>37</v>
      </c>
      <c r="F34" s="2" t="s">
        <v>38</v>
      </c>
      <c r="G34" s="3" t="n">
        <v>80</v>
      </c>
      <c r="H34" s="1" t="s">
        <v>321</v>
      </c>
      <c r="I34" s="1" t="s">
        <v>322</v>
      </c>
      <c r="J34" s="1" t="s">
        <v>334</v>
      </c>
      <c r="K34" s="1" t="s">
        <v>339</v>
      </c>
      <c r="M34" s="1" t="s">
        <v>37</v>
      </c>
      <c r="N34" s="1" t="s">
        <v>30</v>
      </c>
      <c r="O34" s="1" t="s">
        <v>29</v>
      </c>
      <c r="P34" s="1" t="s">
        <v>390</v>
      </c>
      <c r="Q34" s="9" t="s">
        <v>391</v>
      </c>
      <c r="R34" s="1" t="s">
        <v>392</v>
      </c>
      <c r="S34" s="10" t="s">
        <v>33</v>
      </c>
      <c r="T34" s="10" t="s">
        <v>34</v>
      </c>
      <c r="U34" s="11" t="b">
        <f aca="false">FALSE()</f>
        <v>0</v>
      </c>
    </row>
    <row r="35" customFormat="false" ht="15" hidden="false" customHeight="true" outlineLevel="0" collapsed="false">
      <c r="A35" s="13" t="s">
        <v>427</v>
      </c>
      <c r="B35" s="8" t="n">
        <v>46527</v>
      </c>
      <c r="C35" s="2" t="str">
        <f aca="false">IF(B35="","",TEXT(B35,"dddd"))</f>
        <v>Thursday</v>
      </c>
      <c r="D35" s="2" t="s">
        <v>428</v>
      </c>
      <c r="E35" s="2" t="s">
        <v>60</v>
      </c>
      <c r="F35" s="2" t="s">
        <v>429</v>
      </c>
      <c r="G35" s="3" t="n">
        <v>80</v>
      </c>
      <c r="H35" s="1" t="s">
        <v>321</v>
      </c>
      <c r="I35" s="1" t="s">
        <v>322</v>
      </c>
      <c r="J35" s="1" t="s">
        <v>323</v>
      </c>
      <c r="K35" s="1" t="s">
        <v>324</v>
      </c>
      <c r="L35" s="1" t="s">
        <v>349</v>
      </c>
      <c r="M35" s="1" t="s">
        <v>91</v>
      </c>
      <c r="N35" s="1" t="s">
        <v>29</v>
      </c>
      <c r="O35" s="1" t="s">
        <v>29</v>
      </c>
      <c r="P35" s="1" t="s">
        <v>430</v>
      </c>
      <c r="Q35" s="9" t="s">
        <v>65</v>
      </c>
      <c r="R35" s="1" t="s">
        <v>93</v>
      </c>
      <c r="S35" s="10" t="s">
        <v>60</v>
      </c>
      <c r="T35" s="10" t="s">
        <v>67</v>
      </c>
      <c r="U35" s="11" t="b">
        <f aca="false">FALSE()</f>
        <v>0</v>
      </c>
    </row>
    <row r="36" customFormat="false" ht="28.35" hidden="false" customHeight="false" outlineLevel="0" collapsed="false">
      <c r="A36" s="7" t="s">
        <v>431</v>
      </c>
      <c r="B36" s="8" t="n">
        <v>46533</v>
      </c>
      <c r="C36" s="2" t="str">
        <f aca="false">IF(B36="","",TEXT(B36,"dddd"))</f>
        <v>Wednesday</v>
      </c>
      <c r="D36" s="2" t="s">
        <v>196</v>
      </c>
      <c r="E36" s="2" t="s">
        <v>144</v>
      </c>
      <c r="F36" s="2" t="s">
        <v>197</v>
      </c>
      <c r="G36" s="3" t="n">
        <v>12</v>
      </c>
      <c r="H36" s="1" t="s">
        <v>321</v>
      </c>
      <c r="I36" s="1" t="s">
        <v>322</v>
      </c>
      <c r="J36" s="1" t="s">
        <v>329</v>
      </c>
      <c r="K36" s="1" t="s">
        <v>335</v>
      </c>
      <c r="M36" s="1" t="s">
        <v>144</v>
      </c>
      <c r="N36" s="1" t="s">
        <v>29</v>
      </c>
      <c r="O36" s="1" t="s">
        <v>30</v>
      </c>
      <c r="Q36" s="12" t="s">
        <v>432</v>
      </c>
      <c r="R36" s="1" t="s">
        <v>199</v>
      </c>
      <c r="S36" s="10" t="s">
        <v>33</v>
      </c>
      <c r="T36" s="10" t="s">
        <v>34</v>
      </c>
      <c r="U36" s="11" t="b">
        <f aca="false">FALSE()</f>
        <v>0</v>
      </c>
    </row>
    <row r="37" customFormat="false" ht="15" hidden="false" customHeight="false" outlineLevel="0" collapsed="false">
      <c r="A37" s="14" t="s">
        <v>433</v>
      </c>
      <c r="B37" s="8" t="n">
        <v>46534</v>
      </c>
      <c r="C37" s="2" t="str">
        <f aca="false">IF(B37="","",TEXT(B37,"dddd"))</f>
        <v>Thursday</v>
      </c>
      <c r="D37" s="2" t="s">
        <v>347</v>
      </c>
      <c r="E37" s="2" t="s">
        <v>91</v>
      </c>
      <c r="F37" s="2" t="s">
        <v>38</v>
      </c>
      <c r="G37" s="3" t="n">
        <v>80</v>
      </c>
      <c r="H37" s="1" t="s">
        <v>321</v>
      </c>
      <c r="I37" s="1" t="s">
        <v>322</v>
      </c>
      <c r="J37" s="1" t="s">
        <v>334</v>
      </c>
      <c r="K37" s="1" t="s">
        <v>339</v>
      </c>
      <c r="M37" s="1" t="s">
        <v>91</v>
      </c>
      <c r="N37" s="1" t="s">
        <v>30</v>
      </c>
      <c r="O37" s="1" t="s">
        <v>29</v>
      </c>
      <c r="Q37" s="9" t="s">
        <v>420</v>
      </c>
      <c r="S37" s="10" t="s">
        <v>33</v>
      </c>
      <c r="T37" s="10" t="s">
        <v>34</v>
      </c>
      <c r="U37" s="11" t="b">
        <f aca="false">FALSE()</f>
        <v>0</v>
      </c>
    </row>
  </sheetData>
  <dataValidations count="2">
    <dataValidation allowBlank="true" errorStyle="stop" operator="between" showDropDown="false" showErrorMessage="false" showInputMessage="false" sqref="S2:S37" type="list">
      <formula1>"Regional,Local"</formula1>
      <formula2>0</formula2>
    </dataValidation>
    <dataValidation allowBlank="true" errorStyle="stop" operator="between" showDropDown="false" showErrorMessage="false" showInputMessage="false" sqref="T2:T37" type="list">
      <formula1>"Website,External"</formula1>
      <formula2>0</formula2>
    </dataValidation>
  </dataValidations>
  <hyperlinks>
    <hyperlink ref="Q2" r:id="rId1" display="https://calendar.bristolearlyyears.org.uk/"/>
    <hyperlink ref="Q6" r:id="rId2" display="https://beyth.co.uk/course/maths-is-everywhere/"/>
    <hyperlink ref="Q7" r:id="rId3" display="https://calendar.bristolearlyyears.org.uk/"/>
    <hyperlink ref="Q21" r:id="rId4" display="https://beyth.co.uk/course/brilliance-block-play/"/>
    <hyperlink ref="Q23" r:id="rId5" display="https://beyth.co.uk/course/eal-in-the-early-years-unlocking-the-potential-of-every-child-cpd-programme/"/>
    <hyperlink ref="Q28" r:id="rId6" display="https://calendar.bristolearlyyears.org.uk/"/>
    <hyperlink ref="Q34" r:id="rId7" display="https://beyth.co.uk/course/eal-in-the-early-years-unlocking-the-potential-of-every-child-cpd-programme/"/>
    <hyperlink ref="Q35" r:id="rId8" display="https://calendar.bristolearlyyears.org.uk/"/>
    <hyperlink ref="Q37" r:id="rId9" display="https://beyth.co.uk/course/tuning-in-to-twos-cpd-programm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0"/>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N10" activeCellId="0" sqref="N10"/>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13" t="s">
        <v>434</v>
      </c>
      <c r="B2" s="8" t="n">
        <v>46546</v>
      </c>
      <c r="C2" s="2" t="str">
        <f aca="false">IF(B2="","",TEXT(B2,"dddd"))</f>
        <v>Tuesday</v>
      </c>
      <c r="D2" s="2" t="s">
        <v>59</v>
      </c>
      <c r="E2" s="2" t="s">
        <v>60</v>
      </c>
      <c r="F2" s="2" t="s">
        <v>435</v>
      </c>
      <c r="G2" s="3" t="n">
        <v>80</v>
      </c>
      <c r="H2" s="1" t="s">
        <v>436</v>
      </c>
      <c r="I2" s="1" t="s">
        <v>437</v>
      </c>
      <c r="J2" s="1" t="s">
        <v>438</v>
      </c>
      <c r="K2" s="1" t="s">
        <v>439</v>
      </c>
      <c r="L2" s="1" t="s">
        <v>440</v>
      </c>
      <c r="M2" s="1" t="s">
        <v>63</v>
      </c>
      <c r="N2" s="1" t="s">
        <v>29</v>
      </c>
      <c r="O2" s="1" t="s">
        <v>29</v>
      </c>
      <c r="P2" s="1" t="s">
        <v>441</v>
      </c>
      <c r="Q2" s="9" t="s">
        <v>65</v>
      </c>
      <c r="R2" s="1" t="s">
        <v>66</v>
      </c>
      <c r="S2" s="10" t="s">
        <v>60</v>
      </c>
      <c r="T2" s="10" t="s">
        <v>67</v>
      </c>
      <c r="U2" s="11" t="b">
        <f aca="false">FALSE()</f>
        <v>0</v>
      </c>
    </row>
    <row r="3" customFormat="false" ht="30" hidden="false" customHeight="true" outlineLevel="0" collapsed="false">
      <c r="A3" s="7" t="s">
        <v>442</v>
      </c>
      <c r="B3" s="8" t="n">
        <v>46547</v>
      </c>
      <c r="C3" s="2" t="str">
        <f aca="false">IF(B3="","",TEXT(B3,"dddd"))</f>
        <v>Wednesday</v>
      </c>
      <c r="D3" s="2" t="s">
        <v>113</v>
      </c>
      <c r="E3" s="2" t="s">
        <v>91</v>
      </c>
      <c r="F3" s="2" t="s">
        <v>38</v>
      </c>
      <c r="G3" s="3" t="n">
        <v>80</v>
      </c>
      <c r="H3" s="1" t="s">
        <v>436</v>
      </c>
      <c r="I3" s="1" t="s">
        <v>437</v>
      </c>
      <c r="J3" s="1" t="s">
        <v>438</v>
      </c>
      <c r="K3" s="1" t="s">
        <v>443</v>
      </c>
      <c r="L3" s="1" t="s">
        <v>444</v>
      </c>
      <c r="M3" s="1" t="s">
        <v>91</v>
      </c>
      <c r="N3" s="1" t="s">
        <v>29</v>
      </c>
      <c r="O3" s="1" t="s">
        <v>30</v>
      </c>
      <c r="P3" s="1" t="s">
        <v>114</v>
      </c>
      <c r="Q3" s="12" t="s">
        <v>445</v>
      </c>
      <c r="R3" s="1" t="s">
        <v>446</v>
      </c>
      <c r="S3" s="10" t="s">
        <v>33</v>
      </c>
      <c r="T3" s="10" t="s">
        <v>34</v>
      </c>
      <c r="U3" s="11" t="b">
        <f aca="false">FALSE()</f>
        <v>0</v>
      </c>
    </row>
    <row r="4" customFormat="false" ht="30" hidden="false" customHeight="true" outlineLevel="0" collapsed="false">
      <c r="A4" s="7" t="s">
        <v>447</v>
      </c>
      <c r="B4" s="8" t="n">
        <v>46548</v>
      </c>
      <c r="C4" s="2" t="str">
        <f aca="false">IF(B4="","",TEXT(B4,"dddd"))</f>
        <v>Thursday</v>
      </c>
      <c r="D4" s="2" t="s">
        <v>36</v>
      </c>
      <c r="E4" s="2" t="s">
        <v>37</v>
      </c>
      <c r="F4" s="2" t="s">
        <v>38</v>
      </c>
      <c r="G4" s="3" t="n">
        <v>80</v>
      </c>
      <c r="H4" s="1" t="s">
        <v>436</v>
      </c>
      <c r="I4" s="1" t="s">
        <v>437</v>
      </c>
      <c r="J4" s="1" t="s">
        <v>438</v>
      </c>
      <c r="K4" s="1" t="s">
        <v>448</v>
      </c>
      <c r="L4" s="1" t="s">
        <v>449</v>
      </c>
      <c r="M4" s="1" t="s">
        <v>37</v>
      </c>
      <c r="N4" s="1" t="s">
        <v>29</v>
      </c>
      <c r="O4" s="1" t="s">
        <v>30</v>
      </c>
      <c r="P4" s="1" t="s">
        <v>161</v>
      </c>
      <c r="Q4" s="12" t="s">
        <v>450</v>
      </c>
      <c r="R4" s="1" t="s">
        <v>163</v>
      </c>
      <c r="S4" s="10" t="s">
        <v>33</v>
      </c>
      <c r="T4" s="10" t="s">
        <v>34</v>
      </c>
      <c r="U4" s="11" t="b">
        <f aca="false">FALSE()</f>
        <v>0</v>
      </c>
    </row>
    <row r="5" customFormat="false" ht="30" hidden="false" customHeight="true" outlineLevel="0" collapsed="false">
      <c r="A5" s="7" t="s">
        <v>451</v>
      </c>
      <c r="B5" s="8" t="n">
        <v>46552</v>
      </c>
      <c r="C5" s="2" t="str">
        <f aca="false">IF(B5="","",TEXT(B5,"dddd"))</f>
        <v>Monday</v>
      </c>
      <c r="D5" s="2" t="s">
        <v>216</v>
      </c>
      <c r="E5" s="2" t="s">
        <v>46</v>
      </c>
      <c r="F5" s="2" t="s">
        <v>38</v>
      </c>
      <c r="G5" s="3" t="n">
        <v>80</v>
      </c>
      <c r="H5" s="1" t="s">
        <v>436</v>
      </c>
      <c r="I5" s="1" t="s">
        <v>437</v>
      </c>
      <c r="J5" s="1" t="s">
        <v>452</v>
      </c>
      <c r="K5" s="1" t="s">
        <v>443</v>
      </c>
      <c r="M5" s="1" t="s">
        <v>102</v>
      </c>
      <c r="N5" s="1" t="s">
        <v>29</v>
      </c>
      <c r="O5" s="1" t="s">
        <v>30</v>
      </c>
      <c r="P5" s="1" t="s">
        <v>231</v>
      </c>
      <c r="Q5" s="12" t="s">
        <v>453</v>
      </c>
      <c r="R5" s="1" t="s">
        <v>454</v>
      </c>
      <c r="S5" s="10" t="s">
        <v>33</v>
      </c>
      <c r="T5" s="10" t="s">
        <v>34</v>
      </c>
      <c r="U5" s="11" t="b">
        <f aca="false">FALSE()</f>
        <v>0</v>
      </c>
    </row>
    <row r="6" customFormat="false" ht="15" hidden="false" customHeight="true" outlineLevel="0" collapsed="false">
      <c r="A6" s="7" t="s">
        <v>455</v>
      </c>
      <c r="B6" s="8" t="n">
        <v>46553</v>
      </c>
      <c r="C6" s="2" t="str">
        <f aca="false">IF(B6="","",TEXT(B6,"dddd"))</f>
        <v>Tuesday</v>
      </c>
      <c r="D6" s="2" t="s">
        <v>118</v>
      </c>
      <c r="E6" s="2" t="s">
        <v>23</v>
      </c>
      <c r="F6" s="2" t="s">
        <v>38</v>
      </c>
      <c r="G6" s="3" t="n">
        <v>100</v>
      </c>
      <c r="H6" s="1" t="s">
        <v>436</v>
      </c>
      <c r="I6" s="1" t="s">
        <v>437</v>
      </c>
      <c r="J6" s="1" t="s">
        <v>438</v>
      </c>
      <c r="K6" s="1" t="s">
        <v>439</v>
      </c>
      <c r="L6" s="1" t="s">
        <v>456</v>
      </c>
      <c r="M6" s="1" t="s">
        <v>23</v>
      </c>
      <c r="N6" s="1" t="s">
        <v>29</v>
      </c>
      <c r="O6" s="1" t="s">
        <v>30</v>
      </c>
      <c r="Q6" s="12" t="s">
        <v>457</v>
      </c>
      <c r="R6" s="1" t="s">
        <v>318</v>
      </c>
      <c r="S6" s="10" t="s">
        <v>33</v>
      </c>
      <c r="T6" s="10" t="s">
        <v>34</v>
      </c>
      <c r="U6" s="11" t="b">
        <f aca="false">FALSE()</f>
        <v>0</v>
      </c>
    </row>
    <row r="7" customFormat="false" ht="30" hidden="false" customHeight="true" outlineLevel="0" collapsed="false">
      <c r="A7" s="14" t="s">
        <v>458</v>
      </c>
      <c r="B7" s="8" t="n">
        <v>46554</v>
      </c>
      <c r="C7" s="2" t="str">
        <f aca="false">IF(B7="","",TEXT(B7,"dddd"))</f>
        <v>Wednesday</v>
      </c>
      <c r="D7" s="2" t="s">
        <v>235</v>
      </c>
      <c r="E7" s="2" t="s">
        <v>144</v>
      </c>
      <c r="F7" s="2" t="s">
        <v>38</v>
      </c>
      <c r="G7" s="3" t="n">
        <v>80</v>
      </c>
      <c r="H7" s="1" t="s">
        <v>436</v>
      </c>
      <c r="I7" s="1" t="s">
        <v>437</v>
      </c>
      <c r="J7" s="1" t="s">
        <v>452</v>
      </c>
      <c r="K7" s="1" t="s">
        <v>443</v>
      </c>
      <c r="M7" s="1" t="s">
        <v>144</v>
      </c>
      <c r="N7" s="1" t="s">
        <v>30</v>
      </c>
      <c r="O7" s="1" t="s">
        <v>29</v>
      </c>
      <c r="P7" s="1" t="s">
        <v>236</v>
      </c>
      <c r="Q7" s="12" t="s">
        <v>418</v>
      </c>
      <c r="S7" s="10" t="s">
        <v>33</v>
      </c>
      <c r="T7" s="10" t="s">
        <v>34</v>
      </c>
      <c r="U7" s="11" t="b">
        <f aca="false">FALSE()</f>
        <v>0</v>
      </c>
    </row>
    <row r="8" customFormat="false" ht="30" hidden="false" customHeight="true" outlineLevel="0" collapsed="false">
      <c r="A8" s="7" t="s">
        <v>459</v>
      </c>
      <c r="B8" s="8" t="n">
        <v>46561</v>
      </c>
      <c r="C8" s="2" t="str">
        <f aca="false">IF(B8="","",TEXT(B8,"dddd"))</f>
        <v>Wednesday</v>
      </c>
      <c r="D8" s="2" t="s">
        <v>84</v>
      </c>
      <c r="E8" s="2" t="s">
        <v>63</v>
      </c>
      <c r="F8" s="2" t="s">
        <v>38</v>
      </c>
      <c r="G8" s="3" t="n">
        <v>80</v>
      </c>
      <c r="H8" s="1" t="s">
        <v>436</v>
      </c>
      <c r="I8" s="1" t="s">
        <v>437</v>
      </c>
      <c r="J8" s="1" t="s">
        <v>452</v>
      </c>
      <c r="K8" s="1" t="s">
        <v>443</v>
      </c>
      <c r="M8" s="1" t="s">
        <v>266</v>
      </c>
      <c r="N8" s="1" t="s">
        <v>30</v>
      </c>
      <c r="O8" s="1" t="s">
        <v>30</v>
      </c>
      <c r="P8" s="1" t="s">
        <v>267</v>
      </c>
      <c r="Q8" s="12" t="s">
        <v>460</v>
      </c>
      <c r="R8" s="1" t="s">
        <v>461</v>
      </c>
      <c r="S8" s="10" t="s">
        <v>33</v>
      </c>
      <c r="T8" s="10" t="s">
        <v>34</v>
      </c>
      <c r="U8" s="11" t="b">
        <f aca="false">FALSE()</f>
        <v>0</v>
      </c>
    </row>
    <row r="9" customFormat="false" ht="30" hidden="false" customHeight="true" outlineLevel="0" collapsed="false">
      <c r="A9" s="7" t="s">
        <v>462</v>
      </c>
      <c r="B9" s="8" t="n">
        <v>46562</v>
      </c>
      <c r="C9" s="2" t="str">
        <f aca="false">IF(B9="","",TEXT(B9,"dddd"))</f>
        <v>Thursday</v>
      </c>
      <c r="D9" s="2" t="s">
        <v>36</v>
      </c>
      <c r="E9" s="2" t="s">
        <v>144</v>
      </c>
      <c r="F9" s="2" t="s">
        <v>38</v>
      </c>
      <c r="G9" s="3" t="n">
        <v>80</v>
      </c>
      <c r="H9" s="1" t="s">
        <v>436</v>
      </c>
      <c r="I9" s="1" t="s">
        <v>437</v>
      </c>
      <c r="J9" s="1" t="s">
        <v>438</v>
      </c>
      <c r="K9" s="1" t="s">
        <v>443</v>
      </c>
      <c r="L9" s="1" t="s">
        <v>463</v>
      </c>
      <c r="M9" s="1" t="s">
        <v>144</v>
      </c>
      <c r="N9" s="1" t="s">
        <v>29</v>
      </c>
      <c r="O9" s="1" t="s">
        <v>30</v>
      </c>
      <c r="Q9" s="9" t="s">
        <v>464</v>
      </c>
      <c r="R9" s="1" t="s">
        <v>259</v>
      </c>
      <c r="S9" s="10" t="s">
        <v>33</v>
      </c>
      <c r="T9" s="10" t="s">
        <v>34</v>
      </c>
      <c r="U9" s="11" t="b">
        <f aca="false">FALSE()</f>
        <v>0</v>
      </c>
    </row>
    <row r="10" customFormat="false" ht="30" hidden="false" customHeight="true" outlineLevel="0" collapsed="false">
      <c r="A10" s="7" t="s">
        <v>465</v>
      </c>
      <c r="B10" s="8" t="n">
        <v>46568</v>
      </c>
      <c r="C10" s="2" t="str">
        <f aca="false">IF(B10="","",TEXT(B10,"dddd"))</f>
        <v>Wednesday</v>
      </c>
      <c r="D10" s="2" t="s">
        <v>45</v>
      </c>
      <c r="E10" s="2" t="s">
        <v>46</v>
      </c>
      <c r="F10" s="2" t="s">
        <v>38</v>
      </c>
      <c r="G10" s="3" t="n">
        <v>80</v>
      </c>
      <c r="H10" s="1" t="s">
        <v>436</v>
      </c>
      <c r="I10" s="1" t="s">
        <v>437</v>
      </c>
      <c r="J10" s="1" t="s">
        <v>438</v>
      </c>
      <c r="K10" s="1" t="s">
        <v>439</v>
      </c>
      <c r="L10" s="1" t="s">
        <v>466</v>
      </c>
      <c r="M10" s="1" t="s">
        <v>46</v>
      </c>
      <c r="N10" s="1" t="s">
        <v>29</v>
      </c>
      <c r="O10" s="1" t="s">
        <v>30</v>
      </c>
      <c r="Q10" s="12" t="s">
        <v>467</v>
      </c>
      <c r="R10" s="1" t="s">
        <v>49</v>
      </c>
      <c r="S10" s="10" t="s">
        <v>33</v>
      </c>
      <c r="T10" s="10" t="s">
        <v>34</v>
      </c>
      <c r="U10" s="11" t="b">
        <f aca="false">FALSE()</f>
        <v>0</v>
      </c>
    </row>
    <row r="11" customFormat="false" ht="30" hidden="false" customHeight="true" outlineLevel="0" collapsed="false">
      <c r="A11" s="7" t="s">
        <v>468</v>
      </c>
      <c r="B11" s="8" t="n">
        <v>46569</v>
      </c>
      <c r="C11" s="2" t="str">
        <f aca="false">IF(B11="","",TEXT(B11,"dddd"))</f>
        <v>Thursday</v>
      </c>
      <c r="D11" s="2" t="s">
        <v>406</v>
      </c>
      <c r="E11" s="2" t="s">
        <v>261</v>
      </c>
      <c r="F11" s="2" t="s">
        <v>38</v>
      </c>
      <c r="G11" s="3" t="n">
        <v>80</v>
      </c>
      <c r="H11" s="1" t="s">
        <v>436</v>
      </c>
      <c r="I11" s="1" t="s">
        <v>437</v>
      </c>
      <c r="J11" s="1" t="s">
        <v>438</v>
      </c>
      <c r="K11" s="1" t="s">
        <v>443</v>
      </c>
      <c r="L11" s="1" t="s">
        <v>469</v>
      </c>
      <c r="M11" s="1" t="s">
        <v>261</v>
      </c>
      <c r="N11" s="1" t="s">
        <v>29</v>
      </c>
      <c r="O11" s="1" t="s">
        <v>30</v>
      </c>
      <c r="Q11" s="12" t="s">
        <v>470</v>
      </c>
      <c r="R11" s="1" t="s">
        <v>372</v>
      </c>
      <c r="S11" s="10" t="s">
        <v>33</v>
      </c>
      <c r="T11" s="10" t="s">
        <v>34</v>
      </c>
      <c r="U11" s="11" t="b">
        <f aca="false">FALSE()</f>
        <v>0</v>
      </c>
    </row>
    <row r="12" customFormat="false" ht="30" hidden="false" customHeight="true" outlineLevel="0" collapsed="false">
      <c r="A12" s="7" t="s">
        <v>471</v>
      </c>
      <c r="B12" s="8" t="n">
        <v>46570</v>
      </c>
      <c r="C12" s="2" t="str">
        <f aca="false">IF(B12="","",TEXT(B12,"dddd"))</f>
        <v>Friday</v>
      </c>
      <c r="D12" s="2" t="s">
        <v>72</v>
      </c>
      <c r="E12" s="2" t="s">
        <v>73</v>
      </c>
      <c r="F12" s="2" t="s">
        <v>101</v>
      </c>
      <c r="G12" s="3" t="n">
        <v>16</v>
      </c>
      <c r="H12" s="1" t="s">
        <v>436</v>
      </c>
      <c r="I12" s="1" t="s">
        <v>437</v>
      </c>
      <c r="J12" s="1" t="s">
        <v>472</v>
      </c>
      <c r="K12" s="1" t="s">
        <v>439</v>
      </c>
      <c r="M12" s="1" t="s">
        <v>73</v>
      </c>
      <c r="N12" s="1" t="s">
        <v>29</v>
      </c>
      <c r="O12" s="1" t="s">
        <v>30</v>
      </c>
      <c r="P12" s="1" t="s">
        <v>125</v>
      </c>
      <c r="Q12" s="12" t="s">
        <v>473</v>
      </c>
      <c r="R12" s="1" t="s">
        <v>474</v>
      </c>
      <c r="S12" s="10" t="s">
        <v>33</v>
      </c>
      <c r="T12" s="10" t="s">
        <v>34</v>
      </c>
      <c r="U12" s="11" t="b">
        <f aca="false">FALSE()</f>
        <v>0</v>
      </c>
    </row>
    <row r="13" customFormat="false" ht="30" hidden="false" customHeight="true" outlineLevel="0" collapsed="false">
      <c r="A13" s="13" t="s">
        <v>475</v>
      </c>
      <c r="B13" s="8" t="n">
        <v>46574</v>
      </c>
      <c r="C13" s="2" t="str">
        <f aca="false">IF(B13="","",TEXT(B13,"dddd"))</f>
        <v>Tuesday</v>
      </c>
      <c r="D13" s="2" t="s">
        <v>51</v>
      </c>
      <c r="E13" s="2" t="s">
        <v>60</v>
      </c>
      <c r="F13" s="2" t="s">
        <v>476</v>
      </c>
      <c r="G13" s="3" t="n">
        <v>80</v>
      </c>
      <c r="H13" s="1" t="s">
        <v>436</v>
      </c>
      <c r="I13" s="1" t="s">
        <v>437</v>
      </c>
      <c r="J13" s="1" t="s">
        <v>438</v>
      </c>
      <c r="K13" s="1" t="s">
        <v>439</v>
      </c>
      <c r="L13" s="1" t="s">
        <v>440</v>
      </c>
      <c r="M13" s="1" t="s">
        <v>63</v>
      </c>
      <c r="N13" s="1" t="s">
        <v>29</v>
      </c>
      <c r="O13" s="1" t="s">
        <v>29</v>
      </c>
      <c r="P13" s="1" t="s">
        <v>477</v>
      </c>
      <c r="Q13" s="9" t="s">
        <v>65</v>
      </c>
      <c r="R13" s="1" t="s">
        <v>66</v>
      </c>
      <c r="S13" s="10" t="s">
        <v>60</v>
      </c>
      <c r="T13" s="10" t="s">
        <v>67</v>
      </c>
      <c r="U13" s="11" t="b">
        <f aca="false">FALSE()</f>
        <v>0</v>
      </c>
    </row>
    <row r="14" customFormat="false" ht="30" hidden="false" customHeight="true" outlineLevel="0" collapsed="false">
      <c r="A14" s="14" t="s">
        <v>478</v>
      </c>
      <c r="B14" s="8" t="n">
        <v>46575</v>
      </c>
      <c r="C14" s="2" t="str">
        <f aca="false">IF(B14="","",TEXT(B14,"dddd"))</f>
        <v>Wednesday</v>
      </c>
      <c r="D14" s="2" t="s">
        <v>84</v>
      </c>
      <c r="E14" s="2" t="s">
        <v>63</v>
      </c>
      <c r="F14" s="2" t="s">
        <v>38</v>
      </c>
      <c r="G14" s="3" t="n">
        <v>80</v>
      </c>
      <c r="H14" s="1" t="s">
        <v>436</v>
      </c>
      <c r="I14" s="1" t="s">
        <v>437</v>
      </c>
      <c r="J14" s="1" t="s">
        <v>452</v>
      </c>
      <c r="K14" s="1" t="s">
        <v>443</v>
      </c>
      <c r="M14" s="1" t="s">
        <v>266</v>
      </c>
      <c r="N14" s="1" t="s">
        <v>30</v>
      </c>
      <c r="O14" s="1" t="s">
        <v>29</v>
      </c>
      <c r="P14" s="1" t="s">
        <v>267</v>
      </c>
      <c r="Q14" s="12" t="s">
        <v>460</v>
      </c>
      <c r="S14" s="10" t="s">
        <v>33</v>
      </c>
      <c r="T14" s="10" t="s">
        <v>34</v>
      </c>
      <c r="U14" s="11" t="b">
        <f aca="false">FALSE()</f>
        <v>0</v>
      </c>
    </row>
    <row r="15" customFormat="false" ht="30" hidden="false" customHeight="true" outlineLevel="0" collapsed="false">
      <c r="A15" s="14" t="s">
        <v>479</v>
      </c>
      <c r="B15" s="8" t="n">
        <v>46575</v>
      </c>
      <c r="C15" s="2" t="str">
        <f aca="false">IF(B15="","",TEXT(B15,"dddd"))</f>
        <v>Wednesday</v>
      </c>
      <c r="D15" s="2" t="s">
        <v>235</v>
      </c>
      <c r="E15" s="2" t="s">
        <v>144</v>
      </c>
      <c r="F15" s="2" t="s">
        <v>38</v>
      </c>
      <c r="G15" s="3" t="n">
        <v>80</v>
      </c>
      <c r="H15" s="1" t="s">
        <v>436</v>
      </c>
      <c r="I15" s="1" t="s">
        <v>437</v>
      </c>
      <c r="J15" s="1" t="s">
        <v>452</v>
      </c>
      <c r="K15" s="1" t="s">
        <v>443</v>
      </c>
      <c r="M15" s="1" t="s">
        <v>144</v>
      </c>
      <c r="N15" s="1" t="s">
        <v>30</v>
      </c>
      <c r="O15" s="1" t="s">
        <v>29</v>
      </c>
      <c r="P15" s="1" t="s">
        <v>236</v>
      </c>
      <c r="Q15" s="12" t="s">
        <v>418</v>
      </c>
      <c r="S15" s="10" t="s">
        <v>33</v>
      </c>
      <c r="T15" s="10" t="s">
        <v>34</v>
      </c>
      <c r="U15" s="11" t="b">
        <f aca="false">FALSE()</f>
        <v>0</v>
      </c>
    </row>
    <row r="16" customFormat="false" ht="15" hidden="false" customHeight="true" outlineLevel="0" collapsed="false">
      <c r="A16" s="7" t="s">
        <v>226</v>
      </c>
      <c r="B16" s="8" t="n">
        <v>46576</v>
      </c>
      <c r="C16" s="2" t="str">
        <f aca="false">IF(B16="","",TEXT(B16,"dddd"))</f>
        <v>Thursday</v>
      </c>
      <c r="D16" s="2" t="s">
        <v>88</v>
      </c>
      <c r="E16" s="2" t="s">
        <v>46</v>
      </c>
      <c r="F16" s="2" t="s">
        <v>38</v>
      </c>
      <c r="G16" s="3" t="n">
        <v>80</v>
      </c>
      <c r="H16" s="1" t="s">
        <v>436</v>
      </c>
      <c r="I16" s="1" t="s">
        <v>437</v>
      </c>
      <c r="J16" s="1" t="s">
        <v>452</v>
      </c>
      <c r="K16" s="1" t="s">
        <v>439</v>
      </c>
      <c r="M16" s="1" t="s">
        <v>102</v>
      </c>
      <c r="N16" s="1" t="s">
        <v>29</v>
      </c>
      <c r="O16" s="1" t="s">
        <v>30</v>
      </c>
      <c r="P16" s="1" t="s">
        <v>125</v>
      </c>
      <c r="Q16" s="12" t="s">
        <v>480</v>
      </c>
      <c r="R16" s="1" t="s">
        <v>228</v>
      </c>
      <c r="S16" s="10" t="s">
        <v>33</v>
      </c>
      <c r="T16" s="10" t="s">
        <v>34</v>
      </c>
      <c r="U16" s="11" t="b">
        <f aca="false">FALSE()</f>
        <v>0</v>
      </c>
    </row>
    <row r="17" customFormat="false" ht="15" hidden="false" customHeight="true" outlineLevel="0" collapsed="false">
      <c r="A17" s="13" t="s">
        <v>481</v>
      </c>
      <c r="B17" s="8" t="n">
        <v>46582</v>
      </c>
      <c r="C17" s="2" t="str">
        <f aca="false">IF(B17="","",TEXT(B17,"dddd"))</f>
        <v>Wednesday</v>
      </c>
      <c r="D17" s="2" t="s">
        <v>88</v>
      </c>
      <c r="E17" s="2" t="s">
        <v>60</v>
      </c>
      <c r="F17" s="2" t="s">
        <v>482</v>
      </c>
      <c r="G17" s="3" t="n">
        <v>80</v>
      </c>
      <c r="H17" s="1" t="s">
        <v>436</v>
      </c>
      <c r="I17" s="1" t="s">
        <v>437</v>
      </c>
      <c r="J17" s="1" t="s">
        <v>438</v>
      </c>
      <c r="K17" s="1" t="s">
        <v>439</v>
      </c>
      <c r="L17" s="1" t="s">
        <v>444</v>
      </c>
      <c r="M17" s="1" t="s">
        <v>91</v>
      </c>
      <c r="N17" s="1" t="s">
        <v>29</v>
      </c>
      <c r="O17" s="1" t="s">
        <v>29</v>
      </c>
      <c r="P17" s="1" t="s">
        <v>483</v>
      </c>
      <c r="Q17" s="9" t="s">
        <v>65</v>
      </c>
      <c r="R17" s="1" t="s">
        <v>93</v>
      </c>
      <c r="S17" s="10" t="s">
        <v>60</v>
      </c>
      <c r="T17" s="10" t="s">
        <v>67</v>
      </c>
      <c r="U17" s="11" t="b">
        <f aca="false">FALSE()</f>
        <v>0</v>
      </c>
    </row>
    <row r="18" customFormat="false" ht="15" hidden="false" customHeight="true" outlineLevel="0" collapsed="false">
      <c r="A18" s="14" t="s">
        <v>484</v>
      </c>
      <c r="B18" s="8" t="n">
        <v>46589</v>
      </c>
      <c r="C18" s="2" t="str">
        <f aca="false">IF(B18="","",TEXT(B18,"dddd"))</f>
        <v>Wednesday</v>
      </c>
      <c r="D18" s="2" t="s">
        <v>84</v>
      </c>
      <c r="E18" s="2" t="s">
        <v>63</v>
      </c>
      <c r="F18" s="2" t="s">
        <v>38</v>
      </c>
      <c r="G18" s="3" t="n">
        <v>80</v>
      </c>
      <c r="H18" s="1" t="s">
        <v>436</v>
      </c>
      <c r="I18" s="1" t="s">
        <v>437</v>
      </c>
      <c r="J18" s="1" t="s">
        <v>452</v>
      </c>
      <c r="K18" s="1" t="s">
        <v>443</v>
      </c>
      <c r="M18" s="1" t="s">
        <v>266</v>
      </c>
      <c r="N18" s="1" t="s">
        <v>30</v>
      </c>
      <c r="O18" s="1" t="s">
        <v>29</v>
      </c>
      <c r="P18" s="1" t="s">
        <v>267</v>
      </c>
      <c r="Q18" s="12" t="s">
        <v>460</v>
      </c>
      <c r="S18" s="10" t="s">
        <v>33</v>
      </c>
      <c r="T18" s="10" t="s">
        <v>34</v>
      </c>
      <c r="U18" s="11" t="b">
        <f aca="false">FALSE()</f>
        <v>0</v>
      </c>
    </row>
    <row r="19" customFormat="false" ht="15" hidden="false" customHeight="true" outlineLevel="0" collapsed="false">
      <c r="A19" s="13" t="s">
        <v>485</v>
      </c>
      <c r="B19" s="8" t="n">
        <v>46604</v>
      </c>
      <c r="C19" s="2" t="str">
        <f aca="false">IF(B19="","",TEXT(B19,"dddd"))</f>
        <v>Thursday</v>
      </c>
      <c r="D19" s="2" t="s">
        <v>79</v>
      </c>
      <c r="E19" s="2" t="s">
        <v>60</v>
      </c>
      <c r="F19" s="2" t="s">
        <v>486</v>
      </c>
      <c r="G19" s="3" t="n">
        <v>80</v>
      </c>
      <c r="H19" s="1" t="s">
        <v>436</v>
      </c>
      <c r="I19" s="1" t="s">
        <v>437</v>
      </c>
      <c r="J19" s="1" t="s">
        <v>438</v>
      </c>
      <c r="K19" s="1" t="s">
        <v>439</v>
      </c>
      <c r="L19" s="1" t="s">
        <v>440</v>
      </c>
      <c r="M19" s="1" t="s">
        <v>63</v>
      </c>
      <c r="N19" s="1" t="s">
        <v>29</v>
      </c>
      <c r="O19" s="1" t="s">
        <v>29</v>
      </c>
      <c r="P19" s="1" t="s">
        <v>487</v>
      </c>
      <c r="Q19" s="9" t="s">
        <v>65</v>
      </c>
      <c r="R19" s="1" t="s">
        <v>66</v>
      </c>
      <c r="S19" s="10" t="s">
        <v>60</v>
      </c>
      <c r="T19" s="10" t="s">
        <v>67</v>
      </c>
      <c r="U19" s="11" t="b">
        <f aca="false">FALSE()</f>
        <v>0</v>
      </c>
    </row>
    <row r="20" customFormat="false" ht="15" hidden="false" customHeight="false" outlineLevel="0" collapsed="false">
      <c r="A20" s="7" t="s">
        <v>488</v>
      </c>
      <c r="B20" s="8" t="n">
        <v>46612</v>
      </c>
      <c r="C20" s="2" t="str">
        <f aca="false">IF(B20="","",TEXT(B20,"dddd"))</f>
        <v>Friday</v>
      </c>
      <c r="D20" s="2" t="s">
        <v>201</v>
      </c>
      <c r="E20" s="2" t="s">
        <v>119</v>
      </c>
      <c r="F20" s="2" t="s">
        <v>38</v>
      </c>
      <c r="G20" s="3" t="n">
        <v>80</v>
      </c>
      <c r="H20" s="1" t="s">
        <v>436</v>
      </c>
      <c r="I20" s="1" t="s">
        <v>437</v>
      </c>
      <c r="J20" s="1" t="s">
        <v>438</v>
      </c>
      <c r="K20" s="1" t="s">
        <v>443</v>
      </c>
      <c r="L20" s="1" t="s">
        <v>440</v>
      </c>
      <c r="M20" s="1" t="s">
        <v>63</v>
      </c>
      <c r="N20" s="1" t="s">
        <v>29</v>
      </c>
      <c r="O20" s="1" t="s">
        <v>30</v>
      </c>
      <c r="P20" s="1" t="s">
        <v>489</v>
      </c>
      <c r="Q20" s="12" t="s">
        <v>490</v>
      </c>
      <c r="R20" s="1" t="s">
        <v>491</v>
      </c>
      <c r="S20" s="10" t="s">
        <v>33</v>
      </c>
      <c r="T20" s="10" t="s">
        <v>34</v>
      </c>
      <c r="U20" s="11" t="b">
        <f aca="false">FALSE()</f>
        <v>0</v>
      </c>
    </row>
  </sheetData>
  <dataValidations count="2">
    <dataValidation allowBlank="true" errorStyle="stop" operator="between" showDropDown="false" showErrorMessage="false" showInputMessage="false" sqref="S2:S20" type="list">
      <formula1>"Regional,Local"</formula1>
      <formula2>0</formula2>
    </dataValidation>
    <dataValidation allowBlank="true" errorStyle="stop" operator="between" showDropDown="false" showErrorMessage="false" showInputMessage="false" sqref="T2:T20" type="list">
      <formula1>"Website,External"</formula1>
      <formula2>0</formula2>
    </dataValidation>
  </dataValidations>
  <hyperlinks>
    <hyperlink ref="Q2" r:id="rId1" display="https://calendar.bristolearlyyears.org.uk/"/>
    <hyperlink ref="Q9" r:id="rId2" display="https://beyth.co.uk/course/psed-network-june-2027/"/>
    <hyperlink ref="Q13" r:id="rId3" display="https://calendar.bristolearlyyears.org.uk/"/>
    <hyperlink ref="Q17" r:id="rId4" display="https://calendar.bristolearlyyears.org.uk/"/>
    <hyperlink ref="Q19" r:id="rId5" display="https://calendar.bristolearlyyears.org.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2025-04-29T10:11:20Z</dcterms:created>
  <dc:creator>Ali Maggs</dc:creator>
  <dc:description/>
  <dc:language>en-US</dc:language>
  <cp:lastModifiedBy>Ali Maggs</cp:lastModifiedBy>
  <dcterms:modified xsi:type="dcterms:W3CDTF">2026-08-31T14:03:22Z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